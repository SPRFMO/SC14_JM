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c9f94391c746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in CMPs" sheetId="1" r:id="Rca0dda8ffa244a18"/>
    <x:sheet xmlns:r="http://schemas.openxmlformats.org/officeDocument/2006/relationships" name="Other CMPs" sheetId="2" r:id="Rbeeb4c4b088b42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#,##0.00"/>
    <x:numFmt numFmtId="201" formatCode="0.0000000"/>
    <x:numFmt numFmtId="202" formatCode="0.00"/>
    <x:numFmt numFmtId="203" formatCode="0.000000"/>
    <x:numFmt numFmtId="204" formatCode="0.0%"/>
    <x:numFmt numFmtId="205" formatCode="0.0000"/>
    <x:numFmt numFmtId="206" formatCode="0"/>
    <x:numFmt numFmtId="207" formatCode="0.0000000000"/>
  </x:numFmts>
  <x:fonts count="6">
    <x:font>
      <x:sz val="11"/>
      <x:name val="Carlito"/>
    </x:font>
    <x:font>
      <x:sz val="10"/>
      <x:color rgb="FF193649"/>
      <x:name val="Arial"/>
    </x:font>
    <x:font>
      <x:b/>
      <x:sz val="16"/>
      <x:color rgb="FF173F60"/>
      <x:name val="Arial"/>
    </x:font>
    <x:font>
      <x:sz val="10"/>
      <x:color rgb="FF516877"/>
      <x:name val="Arial"/>
    </x:font>
    <x:font>
      <x:b/>
      <x:sz val="10"/>
      <x:color rgb="FFFFFFFF"/>
      <x:name val="Arial"/>
    </x:font>
    <x:font>
      <x:b/>
      <x:sz val="10"/>
      <x:color rgb="FF193649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73F60"/>
      </x:patternFill>
    </x:fill>
    <x:fill>
      <x:patternFill patternType="solid">
        <x:fgColor rgb="FFE8F2F0"/>
      </x:patternFill>
    </x:fill>
    <x:fill>
      <x:patternFill patternType="solid">
        <x:fgColor rgb="FFFFF3DC"/>
      </x:patternFill>
    </x:fill>
    <x:fill>
      <x:patternFill patternType="solid">
        <x:fgColor rgb="FFF3F6F8"/>
      </x:patternFill>
    </x:fill>
  </x:fills>
  <x:borders count="2">
    <x:border/>
    <x:border>
      <x:bottom style="thin">
        <x:color rgb="FF00746F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5" fillId="5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3" fontId="1" fillId="5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5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ill>
        <x:patternFill patternType="solid">
          <x:bgColor rgb="FFFFF3DC"/>
        </x:patternFill>
      </x:fill>
    </x:dxf>
    <x:dxf>
      <x:fill>
        <x:patternFill patternType="solid">
          <x:bgColor rgb="FFFFF3D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220ea2d7c14e65" /><Relationship Type="http://schemas.openxmlformats.org/officeDocument/2006/relationships/theme" Target="/xl/theme/theme1.xml" Id="R6d0d1c62ce724cf1" /><Relationship Type="http://schemas.openxmlformats.org/officeDocument/2006/relationships/sharedStrings" Target="/xl/sharedStrings.xml" Id="R7fdabf8fa1f4409a" /><Relationship Type="http://schemas.openxmlformats.org/officeDocument/2006/relationships/worksheet" Target="/xl/worksheets/sheet1.xml" Id="Rca0dda8ffa244a18" /><Relationship Type="http://schemas.openxmlformats.org/officeDocument/2006/relationships/worksheet" Target="/xl/worksheets/sheet2.xml" Id="Rbeeb4c4b088b42c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60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15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5" hidden="0" customWidth="1"/>
    <x:col min="12" max="12" width="25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1" customHeight="1">
      <x:c r="A2" s="3" t="str">
        <x:v>CMP29 and CMP45: TAC advice for 2027 and 2028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21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</x:row>
    <x:row r="4" ht="21" customHeight="1">
      <x:c r="A4" s="5" t="str">
        <x:v>TAC units: kt (thousand tonnes). The 2028 calculation carries forward the full-precision 2027 advice.</x:v>
      </x:c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</x:row>
    <x:row r="5" ht="21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32" customHeight="1">
      <x:c r="A6" s="9" t="str">
        <x:v>CMP</x:v>
      </x:c>
      <x:c r="B6" s="9" t="str">
        <x:v>2026 TAC (kt)</x:v>
      </x:c>
      <x:c r="C6" s="9" t="str">
        <x:v>2027 advice (kt)</x:v>
      </x:c>
      <x:c r="D6" s="9" t="str">
        <x:v>2028 advice (kt)</x:v>
      </x:c>
      <x:c r="E6" s="2"/>
      <x:c r="F6" s="2"/>
      <x:c r="G6" s="2"/>
      <x:c r="H6" s="2"/>
      <x:c r="I6" s="2"/>
      <x:c r="J6" s="2"/>
      <x:c r="K6" s="2"/>
      <x:c r="L6" s="2"/>
    </x:row>
    <x:row r="7" ht="21" customHeight="1">
      <x:c r="A7" s="17" t="str">
        <x:f>A22</x:f>
        <x:v>CMP29</x:v>
      </x:c>
      <x:c r="B7" s="18" t="n">
        <x:f>B22</x:f>
        <x:v>1675</x:v>
      </x:c>
      <x:c r="C7" s="19" t="n">
        <x:f>J22</x:f>
        <x:v>1423.75</x:v>
      </x:c>
      <x:c r="D7" s="19" t="n">
        <x:f>J23</x:f>
        <x:v>1210.1875</x:v>
      </x:c>
      <x:c r="E7" s="2"/>
      <x:c r="F7" s="2"/>
      <x:c r="G7" s="2"/>
      <x:c r="H7" s="2"/>
      <x:c r="I7" s="2"/>
      <x:c r="J7" s="2"/>
      <x:c r="K7" s="2"/>
      <x:c r="L7" s="2"/>
    </x:row>
    <x:row r="8" ht="21" customHeight="1">
      <x:c r="A8" s="2" t="str">
        <x:f>A24</x:f>
        <x:v>CMP29</x:v>
      </x:c>
      <x:c r="B8" s="14" t="n">
        <x:f>B24</x:f>
        <x:v>1092</x:v>
      </x:c>
      <x:c r="C8" s="20" t="n">
        <x:f>J24</x:f>
        <x:v>1115.6359945330528</x:v>
      </x:c>
      <x:c r="D8" s="20" t="n">
        <x:f>J25</x:f>
        <x:v>999.0100801983173</x:v>
      </x:c>
      <x:c r="E8" s="2"/>
      <x:c r="F8" s="2"/>
      <x:c r="G8" s="2"/>
      <x:c r="H8" s="2"/>
      <x:c r="I8" s="2"/>
      <x:c r="J8" s="2"/>
      <x:c r="K8" s="2"/>
      <x:c r="L8" s="2"/>
    </x:row>
    <x:row r="9" ht="21" customHeight="1">
      <x:c r="A9" s="17" t="str">
        <x:f>A26</x:f>
        <x:v>CMP45</x:v>
      </x:c>
      <x:c r="B9" s="18" t="n">
        <x:f>B26</x:f>
        <x:v>1675</x:v>
      </x:c>
      <x:c r="C9" s="19" t="n">
        <x:f>J26</x:f>
        <x:v>1423.75</x:v>
      </x:c>
      <x:c r="D9" s="19" t="n">
        <x:f>J27</x:f>
        <x:v>1210.1875</x:v>
      </x:c>
      <x:c r="E9" s="2"/>
      <x:c r="F9" s="2"/>
      <x:c r="G9" s="2"/>
      <x:c r="H9" s="2"/>
      <x:c r="I9" s="2"/>
      <x:c r="J9" s="2"/>
      <x:c r="K9" s="2"/>
      <x:c r="L9" s="2"/>
    </x:row>
    <x:row r="10" ht="21" customHeight="1">
      <x:c r="A10" s="2" t="str">
        <x:f>A28</x:f>
        <x:v>CMP45</x:v>
      </x:c>
      <x:c r="B10" s="14" t="n">
        <x:f>B28</x:f>
        <x:v>1092</x:v>
      </x:c>
      <x:c r="C10" s="20" t="n">
        <x:f>J28</x:f>
        <x:v>1142.567077161494</x:v>
      </x:c>
      <x:c r="D10" s="20" t="n">
        <x:f>J29</x:f>
        <x:v>1022.2269617332955</x:v>
      </x:c>
      <x:c r="E10" s="2"/>
      <x:c r="F10" s="2"/>
      <x:c r="G10" s="2"/>
      <x:c r="H10" s="2"/>
      <x:c r="I10" s="2"/>
      <x:c r="J10" s="2"/>
      <x:c r="K10" s="2"/>
      <x:c r="L10" s="2"/>
    </x:row>
    <x:row r="11" ht="21" customHeight="1">
      <x:c r="A11" s="5" t="str">
        <x:v>Both CMPs reach the 15% decrease limit in both years when starting from 1,675 kt.</x:v>
      </x:c>
      <x:c r="B11" s="5"/>
      <x:c r="C11" s="5"/>
      <x:c r="D11" s="5"/>
      <x:c r="E11" s="5"/>
      <x:c r="F11" s="5"/>
      <x:c r="G11" s="5"/>
      <x:c r="H11" s="5"/>
      <x:c r="I11" s="5"/>
      <x:c r="J11" s="5"/>
      <x:c r="K11" s="5"/>
      <x:c r="L11" s="5"/>
    </x:row>
    <x:row r="12" ht="21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 ht="23" customHeight="1">
      <x:c r="A13" s="11" t="str">
        <x:v>Starting TAC scenarios and data cutoffs</x:v>
      </x:c>
      <x:c r="B13" s="11"/>
      <x:c r="C13" s="11"/>
      <x:c r="D13" s="11"/>
      <x:c r="E13" s="11"/>
      <x:c r="F13" s="11"/>
      <x:c r="G13" s="11"/>
      <x:c r="H13" s="11"/>
      <x:c r="I13" s="11"/>
      <x:c r="J13" s="11"/>
      <x:c r="K13" s="11"/>
      <x:c r="L13" s="11"/>
    </x:row>
    <x:row r="14" ht="21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 ht="21" customHeight="1">
      <x:c r="A15" s="2" t="str">
        <x:v>2026 TAC: scenario 1</x:v>
      </x:c>
      <x:c r="B15" s="13" t="n">
        <x:v>1675</x:v>
      </x:c>
      <x:c r="C15" s="2"/>
      <x:c r="D15" s="2" t="str">
        <x:v>2027 advice: indices through 2025 (2023–2025 mean)</x:v>
      </x:c>
      <x:c r="E15" s="2"/>
      <x:c r="F15" s="2"/>
      <x:c r="G15" s="2"/>
      <x:c r="H15" s="2"/>
      <x:c r="I15" s="2"/>
      <x:c r="J15" s="2"/>
      <x:c r="K15" s="2"/>
      <x:c r="L15" s="2"/>
    </x:row>
    <x:row r="16" ht="21" customHeight="1">
      <x:c r="A16" s="2" t="str">
        <x:v>2026 TAC: scenario 2</x:v>
      </x:c>
      <x:c r="B16" s="13" t="n">
        <x:v>1092</x:v>
      </x:c>
      <x:c r="C16" s="2"/>
      <x:c r="D16" s="2" t="str">
        <x:v>2028 advice: indices through 2026 (2024–2026 mean)</x:v>
      </x:c>
      <x:c r="E16" s="2"/>
      <x:c r="F16" s="2"/>
      <x:c r="G16" s="2"/>
      <x:c r="H16" s="2"/>
      <x:c r="I16" s="2"/>
      <x:c r="J16" s="2"/>
      <x:c r="K16" s="2"/>
      <x:c r="L16" s="2"/>
    </x:row>
    <x:row r="17" ht="21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 ht="21" customHeight="1">
      <x:c r="A18" s="5" t="str">
        <x:v>Amber cells are editable starting TACs. Source index values and CMP parameters are shown below the calculations.</x:v>
      </x:c>
      <x:c r="B18" s="5"/>
      <x:c r="C18" s="5"/>
      <x:c r="D18" s="5"/>
      <x:c r="E18" s="5"/>
      <x:c r="F18" s="5"/>
      <x:c r="G18" s="5"/>
      <x:c r="H18" s="5"/>
      <x:c r="I18" s="5"/>
      <x:c r="J18" s="5"/>
      <x:c r="K18" s="5"/>
      <x:c r="L18" s="5"/>
    </x:row>
    <x:row r="19" ht="21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 ht="23" customHeight="1">
      <x:c r="A20" s="11" t="str">
        <x:v>Calculation steps and annual limits</x:v>
      </x:c>
      <x:c r="B20" s="11"/>
      <x:c r="C20" s="11"/>
      <x:c r="D20" s="11"/>
      <x:c r="E20" s="11"/>
      <x:c r="F20" s="11"/>
      <x:c r="G20" s="11"/>
      <x:c r="H20" s="11"/>
      <x:c r="I20" s="11"/>
      <x:c r="J20" s="11"/>
      <x:c r="K20" s="11"/>
      <x:c r="L20" s="11"/>
    </x:row>
    <x:row r="21" ht="32" customHeight="1">
      <x:c r="A21" s="9" t="str">
        <x:v>CMP</x:v>
      </x:c>
      <x:c r="B21" s="9" t="str">
        <x:v>2026 TAC (kt)</x:v>
      </x:c>
      <x:c r="C21" s="9" t="str">
        <x:v>Advice year</x:v>
      </x:c>
      <x:c r="D21" s="9" t="str">
        <x:v>Data through</x:v>
      </x:c>
      <x:c r="E21" s="9" t="str">
        <x:v>Index metric</x:v>
      </x:c>
      <x:c r="F21" s="9" t="str">
        <x:v>Prior TAC (kt)</x:v>
      </x:c>
      <x:c r="G21" s="9" t="str">
        <x:v>Raw TAC (kt)</x:v>
      </x:c>
      <x:c r="H21" s="9" t="str">
        <x:v>Lower limit (kt)</x:v>
      </x:c>
      <x:c r="I21" s="9" t="str">
        <x:v>Upper limit (kt)</x:v>
      </x:c>
      <x:c r="J21" s="9" t="str">
        <x:v>TAC advice (kt)</x:v>
      </x:c>
      <x:c r="K21" s="9" t="str">
        <x:v>Annual change</x:v>
      </x:c>
      <x:c r="L21" s="9" t="str">
        <x:v>Binding rule</x:v>
      </x:c>
    </x:row>
    <x:row r="22" ht="21" customHeight="1">
      <x:c r="A22" s="17" t="str">
        <x:v>CMP29</x:v>
      </x:c>
      <x:c r="B22" s="18" t="n">
        <x:f>'Main CMPs'!$B$15</x:f>
        <x:v>1675</x:v>
      </x:c>
      <x:c r="C22" s="17" t="n">
        <x:v>2027</x:v>
      </x:c>
      <x:c r="D22" s="17" t="n">
        <x:v>2025</x:v>
      </x:c>
      <x:c r="E22" s="21" t="n">
        <x:f>'Main CMPs'!$D$68</x:f>
        <x:v>1.0898340398436022</x:v>
      </x:c>
      <x:c r="F22" s="18" t="n">
        <x:f>B22</x:f>
        <x:v>1675</x:v>
      </x:c>
      <x:c r="G22" s="18" t="n">
        <x:f>IF(E22&lt;=$E$35,$D$35,IF(E22&lt;$F$35,$D$35+(E22-$E$35)*($C$35-$D$35)/($F$35-$E$35),$C$35))</x:f>
        <x:v>1115.6359945330528</x:v>
      </x:c>
      <x:c r="H22" s="18" t="n">
        <x:f>F22*$G$35</x:f>
        <x:v>1423.75</x:v>
      </x:c>
      <x:c r="I22" s="18" t="n">
        <x:f>F22*$H$35</x:f>
        <x:v>2010</x:v>
      </x:c>
      <x:c r="J22" s="19" t="n">
        <x:f>MAX(H22,MIN(I22,G22))</x:f>
        <x:v>1423.75</x:v>
      </x:c>
      <x:c r="K22" s="23" t="n">
        <x:f>J22/F22-1</x:f>
        <x:v>-0.15000000000000002</x:v>
      </x:c>
      <x:c r="L22" s="17" t="str">
        <x:f>IF(G22&lt;H22,"Decrease limit",IF(G22&gt;I22,"Increase limit","Index rule"))</x:f>
        <x:v>Decrease limit</x:v>
      </x:c>
    </x:row>
    <x:row r="23" ht="21" customHeight="1">
      <x:c r="A23" s="2" t="str">
        <x:v>CMP29</x:v>
      </x:c>
      <x:c r="B23" s="14" t="n">
        <x:f>'Main CMPs'!$B$15</x:f>
        <x:v>1675</x:v>
      </x:c>
      <x:c r="C23" s="2" t="n">
        <x:v>2028</x:v>
      </x:c>
      <x:c r="D23" s="2" t="n">
        <x:v>2026</x:v>
      </x:c>
      <x:c r="E23" s="22" t="n">
        <x:f>'Main CMPs'!$D$69</x:f>
        <x:v>0.9533210476309782</x:v>
      </x:c>
      <x:c r="F23" s="14" t="n">
        <x:f>J22</x:f>
        <x:v>1423.75</x:v>
      </x:c>
      <x:c r="G23" s="14" t="n">
        <x:f>IF(E23&lt;=$E$35,$D$35,IF(E23&lt;$F$35,$D$35+(E23-$E$35)*($C$35-$D$35)/($F$35-$E$35),$C$35))</x:f>
        <x:v>999.0100801983173</x:v>
      </x:c>
      <x:c r="H23" s="14" t="n">
        <x:f>F23*$G$35</x:f>
        <x:v>1210.1875</x:v>
      </x:c>
      <x:c r="I23" s="14" t="n">
        <x:f>F23*$H$35</x:f>
        <x:v>1708.5</x:v>
      </x:c>
      <x:c r="J23" s="20" t="n">
        <x:f>MAX(H23,MIN(I23,G23))</x:f>
        <x:v>1210.1875</x:v>
      </x:c>
      <x:c r="K23" s="24" t="n">
        <x:f>J23/F23-1</x:f>
        <x:v>-0.15000000000000002</x:v>
      </x:c>
      <x:c r="L23" s="2" t="str">
        <x:f>IF(G23&lt;H23,"Decrease limit",IF(G23&gt;I23,"Increase limit","Index rule"))</x:f>
        <x:v>Decrease limit</x:v>
      </x:c>
    </x:row>
    <x:row r="24" ht="21" customHeight="1">
      <x:c r="A24" s="17" t="str">
        <x:v>CMP29</x:v>
      </x:c>
      <x:c r="B24" s="18" t="n">
        <x:f>'Main CMPs'!$B$16</x:f>
        <x:v>1092</x:v>
      </x:c>
      <x:c r="C24" s="17" t="n">
        <x:v>2027</x:v>
      </x:c>
      <x:c r="D24" s="17" t="n">
        <x:v>2025</x:v>
      </x:c>
      <x:c r="E24" s="21" t="n">
        <x:f>'Main CMPs'!$D$68</x:f>
        <x:v>1.0898340398436022</x:v>
      </x:c>
      <x:c r="F24" s="18" t="n">
        <x:f>B24</x:f>
        <x:v>1092</x:v>
      </x:c>
      <x:c r="G24" s="18" t="n">
        <x:f>IF(E24&lt;=$E$35,$D$35,IF(E24&lt;$F$35,$D$35+(E24-$E$35)*($C$35-$D$35)/($F$35-$E$35),$C$35))</x:f>
        <x:v>1115.6359945330528</x:v>
      </x:c>
      <x:c r="H24" s="18" t="n">
        <x:f>F24*$G$35</x:f>
        <x:v>928.1999999999999</x:v>
      </x:c>
      <x:c r="I24" s="18" t="n">
        <x:f>F24*$H$35</x:f>
        <x:v>1310.3999999999999</x:v>
      </x:c>
      <x:c r="J24" s="19" t="n">
        <x:f>MAX(H24,MIN(I24,G24))</x:f>
        <x:v>1115.6359945330528</x:v>
      </x:c>
      <x:c r="K24" s="23" t="n">
        <x:f>J24/F24-1</x:f>
        <x:v>0.02164468363832661</x:v>
      </x:c>
      <x:c r="L24" s="17" t="str">
        <x:f>IF(G24&lt;H24,"Decrease limit",IF(G24&gt;I24,"Increase limit","Index rule"))</x:f>
        <x:v>Index rule</x:v>
      </x:c>
    </x:row>
    <x:row r="25" ht="21" customHeight="1">
      <x:c r="A25" s="2" t="str">
        <x:v>CMP29</x:v>
      </x:c>
      <x:c r="B25" s="14" t="n">
        <x:f>'Main CMPs'!$B$16</x:f>
        <x:v>1092</x:v>
      </x:c>
      <x:c r="C25" s="2" t="n">
        <x:v>2028</x:v>
      </x:c>
      <x:c r="D25" s="2" t="n">
        <x:v>2026</x:v>
      </x:c>
      <x:c r="E25" s="22" t="n">
        <x:f>'Main CMPs'!$D$69</x:f>
        <x:v>0.9533210476309782</x:v>
      </x:c>
      <x:c r="F25" s="14" t="n">
        <x:f>J24</x:f>
        <x:v>1115.6359945330528</x:v>
      </x:c>
      <x:c r="G25" s="14" t="n">
        <x:f>IF(E25&lt;=$E$35,$D$35,IF(E25&lt;$F$35,$D$35+(E25-$E$35)*($C$35-$D$35)/($F$35-$E$35),$C$35))</x:f>
        <x:v>999.0100801983173</x:v>
      </x:c>
      <x:c r="H25" s="14" t="n">
        <x:f>F25*$G$35</x:f>
        <x:v>948.2905953530949</x:v>
      </x:c>
      <x:c r="I25" s="14" t="n">
        <x:f>F25*$H$35</x:f>
        <x:v>1338.7631934396634</x:v>
      </x:c>
      <x:c r="J25" s="20" t="n">
        <x:f>MAX(H25,MIN(I25,G25))</x:f>
        <x:v>999.0100801983173</x:v>
      </x:c>
      <x:c r="K25" s="24" t="n">
        <x:f>J25/F25-1</x:f>
        <x:v>-0.10453760447514882</x:v>
      </x:c>
      <x:c r="L25" s="2" t="str">
        <x:f>IF(G25&lt;H25,"Decrease limit",IF(G25&gt;I25,"Increase limit","Index rule"))</x:f>
        <x:v>Index rule</x:v>
      </x:c>
    </x:row>
    <x:row r="26" ht="21" customHeight="1">
      <x:c r="A26" s="17" t="str">
        <x:v>CMP45</x:v>
      </x:c>
      <x:c r="B26" s="18" t="n">
        <x:f>'Main CMPs'!$B$15</x:f>
        <x:v>1675</x:v>
      </x:c>
      <x:c r="C26" s="17" t="n">
        <x:v>2027</x:v>
      </x:c>
      <x:c r="D26" s="17" t="n">
        <x:v>2025</x:v>
      </x:c>
      <x:c r="E26" s="21" t="n">
        <x:f>'Main CMPs'!$D$68</x:f>
        <x:v>1.0898340398436022</x:v>
      </x:c>
      <x:c r="F26" s="18" t="n">
        <x:f>B26</x:f>
        <x:v>1675</x:v>
      </x:c>
      <x:c r="G26" s="18" t="n">
        <x:f>IF(E26&lt;=$E$36,$D$36,IF(E26&lt;$F$36,$D$36+(E26-$E$36)*($C$36-$D$36)/($F$36-$E$36),$C$36))</x:f>
        <x:v>1142.567077161494</x:v>
      </x:c>
      <x:c r="H26" s="18" t="n">
        <x:f>F26*$G$36</x:f>
        <x:v>1423.75</x:v>
      </x:c>
      <x:c r="I26" s="18" t="n">
        <x:f>F26*$H$36</x:f>
        <x:v>1926.2499999999998</x:v>
      </x:c>
      <x:c r="J26" s="19" t="n">
        <x:f>MAX(H26,MIN(I26,G26))</x:f>
        <x:v>1423.75</x:v>
      </x:c>
      <x:c r="K26" s="23" t="n">
        <x:f>J26/F26-1</x:f>
        <x:v>-0.15000000000000002</x:v>
      </x:c>
      <x:c r="L26" s="17" t="str">
        <x:f>IF(G26&lt;H26,"Decrease limit",IF(G26&gt;I26,"Increase limit","Index rule"))</x:f>
        <x:v>Decrease limit</x:v>
      </x:c>
    </x:row>
    <x:row r="27" ht="21" customHeight="1">
      <x:c r="A27" s="2" t="str">
        <x:v>CMP45</x:v>
      </x:c>
      <x:c r="B27" s="14" t="n">
        <x:f>'Main CMPs'!$B$15</x:f>
        <x:v>1675</x:v>
      </x:c>
      <x:c r="C27" s="2" t="n">
        <x:v>2028</x:v>
      </x:c>
      <x:c r="D27" s="2" t="n">
        <x:v>2026</x:v>
      </x:c>
      <x:c r="E27" s="22" t="n">
        <x:f>'Main CMPs'!$D$69</x:f>
        <x:v>0.9533210476309782</x:v>
      </x:c>
      <x:c r="F27" s="14" t="n">
        <x:f>J26</x:f>
        <x:v>1423.75</x:v>
      </x:c>
      <x:c r="G27" s="14" t="n">
        <x:f>IF(E27&lt;=$E$36,$D$36,IF(E27&lt;$F$36,$D$36+(E27-$E$36)*($C$36-$D$36)/($F$36-$E$36),$C$36))</x:f>
        <x:v>1022.2269617332955</x:v>
      </x:c>
      <x:c r="H27" s="14" t="n">
        <x:f>F27*$G$36</x:f>
        <x:v>1210.1875</x:v>
      </x:c>
      <x:c r="I27" s="14" t="n">
        <x:f>F27*$H$36</x:f>
        <x:v>1637.3124999999998</x:v>
      </x:c>
      <x:c r="J27" s="20" t="n">
        <x:f>MAX(H27,MIN(I27,G27))</x:f>
        <x:v>1210.1875</x:v>
      </x:c>
      <x:c r="K27" s="24" t="n">
        <x:f>J27/F27-1</x:f>
        <x:v>-0.15000000000000002</x:v>
      </x:c>
      <x:c r="L27" s="2" t="str">
        <x:f>IF(G27&lt;H27,"Decrease limit",IF(G27&gt;I27,"Increase limit","Index rule"))</x:f>
        <x:v>Decrease limit</x:v>
      </x:c>
    </x:row>
    <x:row r="28" ht="21" customHeight="1">
      <x:c r="A28" s="17" t="str">
        <x:v>CMP45</x:v>
      </x:c>
      <x:c r="B28" s="18" t="n">
        <x:f>'Main CMPs'!$B$16</x:f>
        <x:v>1092</x:v>
      </x:c>
      <x:c r="C28" s="17" t="n">
        <x:v>2027</x:v>
      </x:c>
      <x:c r="D28" s="17" t="n">
        <x:v>2025</x:v>
      </x:c>
      <x:c r="E28" s="21" t="n">
        <x:f>'Main CMPs'!$D$68</x:f>
        <x:v>1.0898340398436022</x:v>
      </x:c>
      <x:c r="F28" s="18" t="n">
        <x:f>B28</x:f>
        <x:v>1092</x:v>
      </x:c>
      <x:c r="G28" s="18" t="n">
        <x:f>IF(E28&lt;=$E$36,$D$36,IF(E28&lt;$F$36,$D$36+(E28-$E$36)*($C$36-$D$36)/($F$36-$E$36),$C$36))</x:f>
        <x:v>1142.567077161494</x:v>
      </x:c>
      <x:c r="H28" s="18" t="n">
        <x:f>F28*$G$36</x:f>
        <x:v>928.1999999999999</x:v>
      </x:c>
      <x:c r="I28" s="18" t="n">
        <x:f>F28*$H$36</x:f>
        <x:v>1255.8</x:v>
      </x:c>
      <x:c r="J28" s="19" t="n">
        <x:f>MAX(H28,MIN(I28,G28))</x:f>
        <x:v>1142.567077161494</x:v>
      </x:c>
      <x:c r="K28" s="23" t="n">
        <x:f>J28/F28-1</x:f>
        <x:v>0.046306847217485236</x:v>
      </x:c>
      <x:c r="L28" s="17" t="str">
        <x:f>IF(G28&lt;H28,"Decrease limit",IF(G28&gt;I28,"Increase limit","Index rule"))</x:f>
        <x:v>Index rule</x:v>
      </x:c>
    </x:row>
    <x:row r="29" ht="21" customHeight="1">
      <x:c r="A29" s="2" t="str">
        <x:v>CMP45</x:v>
      </x:c>
      <x:c r="B29" s="14" t="n">
        <x:f>'Main CMPs'!$B$16</x:f>
        <x:v>1092</x:v>
      </x:c>
      <x:c r="C29" s="2" t="n">
        <x:v>2028</x:v>
      </x:c>
      <x:c r="D29" s="2" t="n">
        <x:v>2026</x:v>
      </x:c>
      <x:c r="E29" s="22" t="n">
        <x:f>'Main CMPs'!$D$69</x:f>
        <x:v>0.9533210476309782</x:v>
      </x:c>
      <x:c r="F29" s="14" t="n">
        <x:f>J28</x:f>
        <x:v>1142.567077161494</x:v>
      </x:c>
      <x:c r="G29" s="14" t="n">
        <x:f>IF(E29&lt;=$E$36,$D$36,IF(E29&lt;$F$36,$D$36+(E29-$E$36)*($C$36-$D$36)/($F$36-$E$36),$C$36))</x:f>
        <x:v>1022.2269617332955</x:v>
      </x:c>
      <x:c r="H29" s="14" t="n">
        <x:f>F29*$G$36</x:f>
        <x:v>971.1820155872698</x:v>
      </x:c>
      <x:c r="I29" s="14" t="n">
        <x:f>F29*$H$36</x:f>
        <x:v>1313.9521387357179</x:v>
      </x:c>
      <x:c r="J29" s="20" t="n">
        <x:f>MAX(H29,MIN(I29,G29))</x:f>
        <x:v>1022.2269617332955</x:v>
      </x:c>
      <x:c r="K29" s="24" t="n">
        <x:f>J29/F29-1</x:f>
        <x:v>-0.10532433310363021</x:v>
      </x:c>
      <x:c r="L29" s="2" t="str">
        <x:f>IF(G29&lt;H29,"Decrease limit",IF(G29&gt;I29,"Increase limit","Index rule"))</x:f>
        <x:v>Index rule</x:v>
      </x:c>
    </x:row>
    <x:row r="30" ht="21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 ht="21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 ht="21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 ht="23" customHeight="1">
      <x:c r="A33" s="11" t="str">
        <x:v>CMP parameters: SC14 common 500-draw definitions</x:v>
      </x:c>
      <x:c r="B33" s="11"/>
      <x:c r="C33" s="11"/>
      <x:c r="D33" s="11"/>
      <x:c r="E33" s="11"/>
      <x:c r="F33" s="11"/>
      <x:c r="G33" s="11"/>
      <x:c r="H33" s="11"/>
      <x:c r="I33" s="11"/>
      <x:c r="J33" s="11"/>
      <x:c r="K33" s="11"/>
      <x:c r="L33" s="11"/>
    </x:row>
    <x:row r="34" ht="32" customHeight="1">
      <x:c r="A34" s="9" t="str">
        <x:v>CMP</x:v>
      </x:c>
      <x:c r="B34" s="9" t="str">
        <x:v>Rule family</x:v>
      </x:c>
      <x:c r="C34" s="9" t="str">
        <x:v>Target (kt)</x:v>
      </x:c>
      <x:c r="D34" s="9" t="str">
        <x:v>Minimum (kt)</x:v>
      </x:c>
      <x:c r="E34" s="9" t="str">
        <x:v>Index limit</x:v>
      </x:c>
      <x:c r="F34" s="9" t="str">
        <x:v>Trigger</x:v>
      </x:c>
      <x:c r="G34" s="9" t="str">
        <x:v>Decrease factor</x:v>
      </x:c>
      <x:c r="H34" s="9" t="str">
        <x:v>Increase factor</x:v>
      </x:c>
      <x:c r="I34" s="2"/>
      <x:c r="J34" s="2"/>
      <x:c r="K34" s="2"/>
      <x:c r="L34" s="2"/>
    </x:row>
    <x:row r="35" ht="21" customHeight="1">
      <x:c r="A35" s="2" t="str">
        <x:v>CMP29</x:v>
      </x:c>
      <x:c r="B35" s="2" t="str">
        <x:v>Hockey-stick</x:v>
      </x:c>
      <x:c r="C35" s="14" t="n">
        <x:v>2000</x:v>
      </x:c>
      <x:c r="D35" s="14" t="n">
        <x:v>270</x:v>
      </x:c>
      <x:c r="E35" s="15" t="n">
        <x:v>0.1</x:v>
      </x:c>
      <x:c r="F35" s="15" t="n">
        <x:v>2.125</x:v>
      </x:c>
      <x:c r="G35" s="16" t="n">
        <x:v>0.85</x:v>
      </x:c>
      <x:c r="H35" s="16" t="n">
        <x:v>1.2</x:v>
      </x:c>
      <x:c r="I35" s="2"/>
      <x:c r="J35" s="2"/>
      <x:c r="K35" s="2"/>
      <x:c r="L35" s="2"/>
    </x:row>
    <x:row r="36" ht="21" customHeight="1">
      <x:c r="A36" s="2" t="str">
        <x:v>CMP45</x:v>
      </x:c>
      <x:c r="B36" s="2" t="str">
        <x:v>Hockey-stick</x:v>
      </x:c>
      <x:c r="C36" s="14" t="n">
        <x:v>2000</x:v>
      </x:c>
      <x:c r="D36" s="14" t="n">
        <x:v>270</x:v>
      </x:c>
      <x:c r="E36" s="15" t="n">
        <x:v>0.1</x:v>
      </x:c>
      <x:c r="F36" s="15" t="n">
        <x:v>2.0625</x:v>
      </x:c>
      <x:c r="G36" s="16" t="n">
        <x:v>0.85</x:v>
      </x:c>
      <x:c r="H36" s="16" t="n">
        <x:v>1.15</x:v>
      </x:c>
      <x:c r="I36" s="2"/>
      <x:c r="J36" s="2"/>
      <x:c r="K36" s="2"/>
      <x:c r="L36" s="2"/>
    </x:row>
    <x:row r="37" ht="21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 ht="21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 ht="23" customHeight="1">
      <x:c r="A39" s="11" t="str">
        <x:v>Observed index inputs (original source units)</x:v>
      </x:c>
      <x:c r="B39" s="11"/>
      <x:c r="C39" s="11"/>
      <x:c r="D39" s="11"/>
      <x:c r="E39" s="11"/>
      <x:c r="F39" s="11"/>
      <x:c r="G39" s="11"/>
      <x:c r="H39" s="11"/>
      <x:c r="I39" s="11"/>
      <x:c r="J39" s="11"/>
      <x:c r="K39" s="11"/>
      <x:c r="L39" s="11"/>
    </x:row>
    <x:row r="40" ht="21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 ht="32" customHeight="1">
      <x:c r="A41" s="9" t="str">
        <x:v>Year</x:v>
      </x:c>
      <x:c r="B41" s="9" t="str">
        <x:v>Chile acoustic N</x:v>
      </x:c>
      <x:c r="C41" s="9" t="str">
        <x:v>Chile CPUE</x:v>
      </x:c>
      <x:c r="D41" s="9" t="str">
        <x:v>Peru artisanal</x:v>
      </x:c>
      <x:c r="E41" s="9" t="str">
        <x:v>Peru industrial</x:v>
      </x:c>
      <x:c r="F41" s="9" t="str">
        <x:v>Offshore CPUE</x:v>
      </x:c>
      <x:c r="G41" s="2"/>
      <x:c r="H41" s="2"/>
      <x:c r="I41" s="2"/>
      <x:c r="J41" s="2"/>
      <x:c r="K41" s="2"/>
      <x:c r="L41" s="2"/>
    </x:row>
    <x:row r="42" ht="21" customHeight="1">
      <x:c r="A42" s="2" t="n">
        <x:v>2019</x:v>
      </x:c>
      <x:c r="B42" s="25" t="n">
        <x:v>1487.07</x:v>
      </x:c>
      <x:c r="C42" s="25" t="n">
        <x:v>104.2971</x:v>
      </x:c>
      <x:c r="D42" s="15" t="n">
        <x:v>0.4132993</x:v>
      </x:c>
      <x:c r="E42" s="15" t="n">
        <x:v>0.4431689</x:v>
      </x:c>
      <x:c r="F42" s="26" t="n">
        <x:v>688</x:v>
      </x:c>
      <x:c r="G42" s="2"/>
      <x:c r="H42" s="2"/>
      <x:c r="I42" s="2"/>
      <x:c r="J42" s="2"/>
      <x:c r="K42" s="2"/>
      <x:c r="L42" s="2"/>
    </x:row>
    <x:row r="43" ht="21" customHeight="1">
      <x:c r="A43" s="2" t="n">
        <x:v>2020</x:v>
      </x:c>
      <x:c r="B43" s="25" t="n">
        <x:v>1728.268</x:v>
      </x:c>
      <x:c r="C43" s="25" t="n">
        <x:v>97.2726</x:v>
      </x:c>
      <x:c r="D43" s="15" t="n">
        <x:v>0.4681688</x:v>
      </x:c>
      <x:c r="E43" s="15" t="n">
        <x:v>0.4730189</x:v>
      </x:c>
      <x:c r="F43" s="26" t="n">
        <x:v>669</x:v>
      </x:c>
      <x:c r="G43" s="2"/>
      <x:c r="H43" s="2"/>
      <x:c r="I43" s="2"/>
      <x:c r="J43" s="2"/>
      <x:c r="K43" s="2"/>
      <x:c r="L43" s="2"/>
    </x:row>
    <x:row r="44" ht="21" customHeight="1">
      <x:c r="A44" s="2" t="n">
        <x:v>2021</x:v>
      </x:c>
      <x:c r="B44" s="25" t="n">
        <x:v>1870.357</x:v>
      </x:c>
      <x:c r="C44" s="25" t="n">
        <x:v>93.9945</x:v>
      </x:c>
      <x:c r="D44" s="15" t="n">
        <x:v>0.4675591</x:v>
      </x:c>
      <x:c r="E44" s="15" t="n">
        <x:v>0.4860361</x:v>
      </x:c>
      <x:c r="F44" s="26" t="n">
        <x:v>966</x:v>
      </x:c>
      <x:c r="G44" s="2"/>
      <x:c r="H44" s="2"/>
      <x:c r="I44" s="2"/>
      <x:c r="J44" s="2"/>
      <x:c r="K44" s="2"/>
      <x:c r="L44" s="2"/>
    </x:row>
    <x:row r="45" ht="21" customHeight="1">
      <x:c r="A45" s="2" t="n">
        <x:v>2022</x:v>
      </x:c>
      <x:c r="B45" s="25"/>
      <x:c r="C45" s="25" t="n">
        <x:v>91.3185</x:v>
      </x:c>
      <x:c r="D45" s="15" t="n">
        <x:v>0.5708413</x:v>
      </x:c>
      <x:c r="E45" s="15" t="n">
        <x:v>0.4933459</x:v>
      </x:c>
      <x:c r="F45" s="26" t="n">
        <x:v>1394</x:v>
      </x:c>
      <x:c r="G45" s="2"/>
      <x:c r="H45" s="2"/>
      <x:c r="I45" s="2"/>
      <x:c r="J45" s="2"/>
      <x:c r="K45" s="2"/>
      <x:c r="L45" s="2"/>
    </x:row>
    <x:row r="46" ht="21" customHeight="1">
      <x:c r="A46" s="2" t="n">
        <x:v>2023</x:v>
      </x:c>
      <x:c r="B46" s="25" t="n">
        <x:v>2502.157</x:v>
      </x:c>
      <x:c r="C46" s="25" t="n">
        <x:v>100.2162</x:v>
      </x:c>
      <x:c r="D46" s="15" t="n">
        <x:v>0.6166017</x:v>
      </x:c>
      <x:c r="E46" s="15" t="n">
        <x:v>0.4486047</x:v>
      </x:c>
      <x:c r="F46" s="26" t="n">
        <x:v>1410</x:v>
      </x:c>
      <x:c r="G46" s="2"/>
      <x:c r="H46" s="2"/>
      <x:c r="I46" s="2"/>
      <x:c r="J46" s="2"/>
      <x:c r="K46" s="2"/>
      <x:c r="L46" s="2"/>
    </x:row>
    <x:row r="47" ht="21" customHeight="1">
      <x:c r="A47" s="2" t="n">
        <x:v>2024</x:v>
      </x:c>
      <x:c r="B47" s="25" t="n">
        <x:v>2788.465</x:v>
      </x:c>
      <x:c r="C47" s="25" t="n">
        <x:v>82.4208</x:v>
      </x:c>
      <x:c r="D47" s="15" t="n">
        <x:v>0.6721997</x:v>
      </x:c>
      <x:c r="E47" s="15" t="n">
        <x:v>0.4225765</x:v>
      </x:c>
      <x:c r="F47" s="26" t="n">
        <x:v>490</x:v>
      </x:c>
      <x:c r="G47" s="2"/>
      <x:c r="H47" s="2"/>
      <x:c r="I47" s="2"/>
      <x:c r="J47" s="2"/>
      <x:c r="K47" s="2"/>
      <x:c r="L47" s="2"/>
    </x:row>
    <x:row r="48" ht="21" customHeight="1">
      <x:c r="A48" s="2" t="n">
        <x:v>2025</x:v>
      </x:c>
      <x:c r="B48" s="25" t="n">
        <x:v>3058.843</x:v>
      </x:c>
      <x:c r="C48" s="25" t="n">
        <x:v>96.6705</x:v>
      </x:c>
      <x:c r="D48" s="15" t="n">
        <x:v>0.4946125</x:v>
      </x:c>
      <x:c r="E48" s="15" t="n">
        <x:v>0.3974881</x:v>
      </x:c>
      <x:c r="F48" s="26" t="n">
        <x:v>1030</x:v>
      </x:c>
      <x:c r="G48" s="2"/>
      <x:c r="H48" s="2"/>
      <x:c r="I48" s="2"/>
      <x:c r="J48" s="2"/>
      <x:c r="K48" s="2"/>
      <x:c r="L48" s="2"/>
    </x:row>
    <x:row r="49" ht="21" customHeight="1">
      <x:c r="A49" s="2" t="n">
        <x:v>2026</x:v>
      </x:c>
      <x:c r="B49" s="25" t="n">
        <x:v>642.1313</x:v>
      </x:c>
      <x:c r="C49" s="25" t="n">
        <x:v>104.4309</x:v>
      </x:c>
      <x:c r="D49" s="15" t="n">
        <x:v>0.5673619</x:v>
      </x:c>
      <x:c r="E49" s="15" t="n">
        <x:v>0.2574228</x:v>
      </x:c>
      <x:c r="F49" s="26"/>
      <x:c r="G49" s="2"/>
      <x:c r="H49" s="2"/>
      <x:c r="I49" s="2"/>
      <x:c r="J49" s="2"/>
      <x:c r="K49" s="2"/>
      <x:c r="L49" s="2"/>
    </x:row>
    <x:row r="50" ht="21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 ht="21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 ht="21" customHeight="1">
      <x:c r="A52" s="2" t="str">
        <x:v>2019–2023 mean</x:v>
      </x:c>
      <x:c r="B52" s="15" t="n">
        <x:f>AVERAGE(B42:B46)</x:f>
        <x:v>1896.963</x:v>
      </x:c>
      <x:c r="C52" s="15" t="n">
        <x:f>AVERAGE(C42:C46)</x:f>
        <x:v>97.41978</x:v>
      </x:c>
      <x:c r="D52" s="15" t="n">
        <x:f>AVERAGE(D42:D46)</x:f>
        <x:v>0.50729404</x:v>
      </x:c>
      <x:c r="E52" s="15" t="n">
        <x:f>AVERAGE(E42:E46)</x:f>
        <x:v>0.46883490000000005</x:v>
      </x:c>
      <x:c r="F52" s="15" t="n">
        <x:f>AVERAGE(F42:F46)</x:f>
        <x:v>1025.4</x:v>
      </x:c>
      <x:c r="G52" s="2"/>
      <x:c r="H52" s="2"/>
      <x:c r="I52" s="2"/>
      <x:c r="J52" s="2"/>
      <x:c r="K52" s="2"/>
      <x:c r="L52" s="2"/>
    </x:row>
    <x:row r="53" ht="21" customHeight="1">
      <x:c r="A53" s="2" t="str">
        <x:v>Reference n</x:v>
      </x:c>
      <x:c r="B53" s="2" t="n">
        <x:f>COUNT(B42:B46)</x:f>
        <x:v>4</x:v>
      </x:c>
      <x:c r="C53" s="2" t="n">
        <x:f>COUNT(C42:C46)</x:f>
        <x:v>5</x:v>
      </x:c>
      <x:c r="D53" s="2" t="n">
        <x:f>COUNT(D42:D46)</x:f>
        <x:v>5</x:v>
      </x:c>
      <x:c r="E53" s="2" t="n">
        <x:f>COUNT(E42:E46)</x:f>
        <x:v>5</x:v>
      </x:c>
      <x:c r="F53" s="2" t="n">
        <x:f>COUNT(F42:F46)</x:f>
        <x:v>5</x:v>
      </x:c>
      <x:c r="G53" s="2"/>
      <x:c r="H53" s="2"/>
      <x:c r="I53" s="2"/>
      <x:c r="J53" s="2"/>
      <x:c r="K53" s="2"/>
      <x:c r="L53" s="2"/>
    </x:row>
    <x:row r="54" ht="21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 ht="23" customHeight="1">
      <x:c r="A55" s="11" t="str">
        <x:v>Standardized indices and annual combination</x:v>
      </x:c>
      <x:c r="B55" s="11"/>
      <x:c r="C55" s="11"/>
      <x:c r="D55" s="11"/>
      <x:c r="E55" s="11"/>
      <x:c r="F55" s="11"/>
      <x:c r="G55" s="11"/>
      <x:c r="H55" s="11"/>
      <x:c r="I55" s="11"/>
      <x:c r="J55" s="11"/>
      <x:c r="K55" s="11"/>
      <x:c r="L55" s="11"/>
    </x:row>
    <x:row r="56" ht="32" customHeight="1">
      <x:c r="A56" s="9" t="str">
        <x:v>Year</x:v>
      </x:c>
      <x:c r="B56" s="9" t="str">
        <x:v>Chile acoustic N</x:v>
      </x:c>
      <x:c r="C56" s="9" t="str">
        <x:v>Chile CPUE</x:v>
      </x:c>
      <x:c r="D56" s="9" t="str">
        <x:v>Peru artisanal</x:v>
      </x:c>
      <x:c r="E56" s="9" t="str">
        <x:v>Peru industrial</x:v>
      </x:c>
      <x:c r="F56" s="9" t="str">
        <x:v>Offshore CPUE</x:v>
      </x:c>
      <x:c r="G56" s="9" t="str">
        <x:v>Available indices</x:v>
      </x:c>
      <x:c r="H56" s="9" t="str">
        <x:v>Annual mean</x:v>
      </x:c>
      <x:c r="I56" s="2"/>
      <x:c r="J56" s="2"/>
      <x:c r="K56" s="2"/>
      <x:c r="L56" s="2"/>
    </x:row>
    <x:row r="57" ht="21" customHeight="1">
      <x:c r="A57" s="2" t="n">
        <x:f>A42</x:f>
        <x:v>2019</x:v>
      </x:c>
      <x:c r="B57" s="22" t="n">
        <x:f>IF(ISNUMBER(B42),B42/B$52,"")</x:f>
        <x:v>0.7839214576140916</x:v>
      </x:c>
      <x:c r="C57" s="22" t="n">
        <x:f>IF(ISNUMBER(C42),C42/C$52,"")</x:f>
        <x:v>1.0705946985304216</x:v>
      </x:c>
      <x:c r="D57" s="22" t="n">
        <x:f>IF(ISNUMBER(D42),D42/D$52,"")</x:f>
        <x:v>0.8147134943670933</x:v>
      </x:c>
      <x:c r="E57" s="22" t="n">
        <x:f>IF(ISNUMBER(E42),E42/E$52,"")</x:f>
        <x:v>0.9452557819394416</x:v>
      </x:c>
      <x:c r="F57" s="22" t="n">
        <x:f>IF(ISNUMBER(F42),F42/F$52,"")</x:f>
        <x:v>0.6709576750536376</x:v>
      </x:c>
      <x:c r="G57" s="2" t="n">
        <x:f>COUNT(B57:F57)</x:f>
        <x:v>5</x:v>
      </x:c>
      <x:c r="H57" s="22" t="n">
        <x:f>AVERAGE(B57:F57)</x:f>
        <x:v>0.8570886215009372</x:v>
      </x:c>
      <x:c r="I57" s="2"/>
      <x:c r="J57" s="2"/>
      <x:c r="K57" s="2"/>
      <x:c r="L57" s="2"/>
    </x:row>
    <x:row r="58" ht="21" customHeight="1">
      <x:c r="A58" s="2" t="n">
        <x:f>A43</x:f>
        <x:v>2020</x:v>
      </x:c>
      <x:c r="B58" s="22" t="n">
        <x:f>IF(ISNUMBER(B43),B43/B$52,"")</x:f>
        <x:v>0.9110710119280134</x:v>
      </x:c>
      <x:c r="C58" s="22" t="n">
        <x:f>IF(ISNUMBER(C43),C43/C$52,"")</x:f>
        <x:v>0.9984892185139403</x:v>
      </x:c>
      <x:c r="D58" s="22" t="n">
        <x:f>IF(ISNUMBER(D43),D43/D$52,"")</x:f>
        <x:v>0.9228746310522394</x:v>
      </x:c>
      <x:c r="E58" s="22" t="n">
        <x:f>IF(ISNUMBER(E43),E43/E$52,"")</x:f>
        <x:v>1.008924250306451</x:v>
      </x:c>
      <x:c r="F58" s="22" t="n">
        <x:f>IF(ISNUMBER(F43),F43/F$52,"")</x:f>
        <x:v>0.6524283206553539</x:v>
      </x:c>
      <x:c r="G58" s="2" t="n">
        <x:f>COUNT(B58:F58)</x:f>
        <x:v>5</x:v>
      </x:c>
      <x:c r="H58" s="22" t="n">
        <x:f>AVERAGE(B58:F58)</x:f>
        <x:v>0.8987574864911997</x:v>
      </x:c>
      <x:c r="I58" s="2"/>
      <x:c r="J58" s="2"/>
      <x:c r="K58" s="2"/>
      <x:c r="L58" s="2"/>
    </x:row>
    <x:row r="59" ht="21" customHeight="1">
      <x:c r="A59" s="2" t="n">
        <x:f>A44</x:f>
        <x:v>2021</x:v>
      </x:c>
      <x:c r="B59" s="22" t="n">
        <x:f>IF(ISNUMBER(B44),B44/B$52,"")</x:f>
        <x:v>0.9859744233282357</x:v>
      </x:c>
      <x:c r="C59" s="22" t="n">
        <x:f>IF(ISNUMBER(C44),C44/C$52,"")</x:f>
        <x:v>0.9648399945062491</x:v>
      </x:c>
      <x:c r="D59" s="22" t="n">
        <x:f>IF(ISNUMBER(D44),D44/D$52,"")</x:f>
        <x:v>0.9216727639851633</x:v>
      </x:c>
      <x:c r="E59" s="22" t="n">
        <x:f>IF(ISNUMBER(E44),E44/E$52,"")</x:f>
        <x:v>1.0366892481767036</x:v>
      </x:c>
      <x:c r="F59" s="22" t="n">
        <x:f>IF(ISNUMBER(F44),F44/F$52,"")</x:f>
        <x:v>0.9420713867758923</x:v>
      </x:c>
      <x:c r="G59" s="2" t="n">
        <x:f>COUNT(B59:F59)</x:f>
        <x:v>5</x:v>
      </x:c>
      <x:c r="H59" s="22" t="n">
        <x:f>AVERAGE(B59:F59)</x:f>
        <x:v>0.9702495633544489</x:v>
      </x:c>
      <x:c r="I59" s="2"/>
      <x:c r="J59" s="2"/>
      <x:c r="K59" s="2"/>
      <x:c r="L59" s="2"/>
    </x:row>
    <x:row r="60" ht="21" customHeight="1">
      <x:c r="A60" s="2" t="n">
        <x:f>A45</x:f>
        <x:v>2022</x:v>
      </x:c>
      <x:c r="B60" s="22" t="str">
        <x:f>IF(ISNUMBER(B45),B45/B$52,"")</x:f>
      </x:c>
      <x:c r="C60" s="22" t="n">
        <x:f>IF(ISNUMBER(C45),C45/C$52,"")</x:f>
        <x:v>0.9373712402142562</x:v>
      </x:c>
      <x:c r="D60" s="22" t="n">
        <x:f>IF(ISNUMBER(D45),D45/D$52,"")</x:f>
        <x:v>1.125267113329382</x:v>
      </x:c>
      <x:c r="E60" s="22" t="n">
        <x:f>IF(ISNUMBER(E45),E45/E$52,"")</x:f>
        <x:v>1.0522806642594225</x:v>
      </x:c>
      <x:c r="F60" s="22" t="n">
        <x:f>IF(ISNUMBER(F45),F45/F$52,"")</x:f>
        <x:v>1.3594694753267016</x:v>
      </x:c>
      <x:c r="G60" s="2" t="n">
        <x:f>COUNT(B60:F60)</x:f>
        <x:v>4</x:v>
      </x:c>
      <x:c r="H60" s="22" t="n">
        <x:f>AVERAGE(B60:F60)</x:f>
        <x:v>1.1185971232824405</x:v>
      </x:c>
      <x:c r="I60" s="2"/>
      <x:c r="J60" s="2"/>
      <x:c r="K60" s="2"/>
      <x:c r="L60" s="2"/>
    </x:row>
    <x:row r="61" ht="21" customHeight="1">
      <x:c r="A61" s="2" t="n">
        <x:f>A46</x:f>
        <x:v>2023</x:v>
      </x:c>
      <x:c r="B61" s="22" t="n">
        <x:f>IF(ISNUMBER(B46),B46/B$52,"")</x:f>
        <x:v>1.3190331071296595</x:v>
      </x:c>
      <x:c r="C61" s="22" t="n">
        <x:f>IF(ISNUMBER(C46),C46/C$52,"")</x:f>
        <x:v>1.0287048482351324</x:v>
      </x:c>
      <x:c r="D61" s="22" t="n">
        <x:f>IF(ISNUMBER(D46),D46/D$52,"")</x:f>
        <x:v>1.215471997266122</x:v>
      </x:c>
      <x:c r="E61" s="22" t="n">
        <x:f>IF(ISNUMBER(E46),E46/E$52,"")</x:f>
        <x:v>0.9568500553179807</x:v>
      </x:c>
      <x:c r="F61" s="22" t="n">
        <x:f>IF(ISNUMBER(F46),F46/F$52,"")</x:f>
        <x:v>1.3750731421884141</x:v>
      </x:c>
      <x:c r="G61" s="2" t="n">
        <x:f>COUNT(B61:F61)</x:f>
        <x:v>5</x:v>
      </x:c>
      <x:c r="H61" s="22" t="n">
        <x:f>AVERAGE(B61:F61)</x:f>
        <x:v>1.1790266300274619</x:v>
      </x:c>
      <x:c r="I61" s="2"/>
      <x:c r="J61" s="2"/>
      <x:c r="K61" s="2"/>
      <x:c r="L61" s="2"/>
    </x:row>
    <x:row r="62" ht="21" customHeight="1">
      <x:c r="A62" s="2" t="n">
        <x:f>A47</x:f>
        <x:v>2024</x:v>
      </x:c>
      <x:c r="B62" s="22" t="n">
        <x:f>IF(ISNUMBER(B47),B47/B$52,"")</x:f>
        <x:v>1.4699627773446293</x:v>
      </x:c>
      <x:c r="C62" s="22" t="n">
        <x:f>IF(ISNUMBER(C47),C47/C$52,"")</x:f>
        <x:v>0.84603763219338</x:v>
      </x:c>
      <x:c r="D62" s="22" t="n">
        <x:f>IF(ISNUMBER(D47),D47/D$52,"")</x:f>
        <x:v>1.3250691847276581</x:v>
      </x:c>
      <x:c r="E62" s="22" t="n">
        <x:f>IF(ISNUMBER(E47),E47/E$52,"")</x:f>
        <x:v>0.9013332838489625</x:v>
      </x:c>
      <x:c r="F62" s="22" t="n">
        <x:f>IF(ISNUMBER(F47),F47/F$52,"")</x:f>
        <x:v>0.47786229763994537</x:v>
      </x:c>
      <x:c r="G62" s="2" t="n">
        <x:f>COUNT(B62:F62)</x:f>
        <x:v>5</x:v>
      </x:c>
      <x:c r="H62" s="22" t="n">
        <x:f>AVERAGE(B62:F62)</x:f>
        <x:v>1.0040530351509152</x:v>
      </x:c>
      <x:c r="I62" s="2"/>
      <x:c r="J62" s="2"/>
      <x:c r="K62" s="2"/>
      <x:c r="L62" s="2"/>
    </x:row>
    <x:row r="63" ht="21" customHeight="1">
      <x:c r="A63" s="2" t="n">
        <x:f>A48</x:f>
        <x:v>2025</x:v>
      </x:c>
      <x:c r="B63" s="22" t="n">
        <x:f>IF(ISNUMBER(B48),B48/B$52,"")</x:f>
        <x:v>1.612494814079136</x:v>
      </x:c>
      <x:c r="C63" s="22" t="n">
        <x:f>IF(ISNUMBER(C48),C48/C$52,"")</x:f>
        <x:v>0.992308748798242</x:v>
      </x:c>
      <x:c r="D63" s="22" t="n">
        <x:f>IF(ISNUMBER(D48),D48/D$52,"")</x:f>
        <x:v>0.9750015986783523</x:v>
      </x:c>
      <x:c r="E63" s="22" t="n">
        <x:f>IF(ISNUMBER(E48),E48/E$52,"")</x:f>
        <x:v>0.8478210559836735</x:v>
      </x:c>
      <x:c r="F63" s="22" t="n">
        <x:f>IF(ISNUMBER(F48),F48/F$52,"")</x:f>
        <x:v>1.0044860542227423</x:v>
      </x:c>
      <x:c r="G63" s="2" t="n">
        <x:f>COUNT(B63:F63)</x:f>
        <x:v>5</x:v>
      </x:c>
      <x:c r="H63" s="22" t="n">
        <x:f>AVERAGE(B63:F63)</x:f>
        <x:v>1.0864224543524295</x:v>
      </x:c>
      <x:c r="I63" s="2"/>
      <x:c r="J63" s="2"/>
      <x:c r="K63" s="2"/>
      <x:c r="L63" s="2"/>
    </x:row>
    <x:row r="64" ht="21" customHeight="1">
      <x:c r="A64" s="2" t="n">
        <x:f>A49</x:f>
        <x:v>2026</x:v>
      </x:c>
      <x:c r="B64" s="22" t="n">
        <x:f>IF(ISNUMBER(B49),B49/B$52,"")</x:f>
        <x:v>0.3385049154885994</x:v>
      </x:c>
      <x:c r="C64" s="22" t="n">
        <x:f>IF(ISNUMBER(C49),C49/C$52,"")</x:f>
        <x:v>1.0719681362450213</x:v>
      </x:c>
      <x:c r="D64" s="22" t="n">
        <x:f>IF(ISNUMBER(D49),D49/D$52,"")</x:f>
        <x:v>1.1184083692369025</x:v>
      </x:c>
      <x:c r="E64" s="22" t="n">
        <x:f>IF(ISNUMBER(E49),E49/E$52,"")</x:f>
        <x:v>0.5490691925878385</x:v>
      </x:c>
      <x:c r="F64" s="22" t="str">
        <x:f>IF(ISNUMBER(F49),F49/F$52,"")</x:f>
      </x:c>
      <x:c r="G64" s="2" t="n">
        <x:f>COUNT(B64:F64)</x:f>
        <x:v>4</x:v>
      </x:c>
      <x:c r="H64" s="22" t="n">
        <x:f>AVERAGE(B64:F64)</x:f>
        <x:v>0.7694876533895904</x:v>
      </x:c>
      <x:c r="I64" s="2"/>
      <x:c r="J64" s="2"/>
      <x:c r="K64" s="2"/>
      <x:c r="L64" s="2"/>
    </x:row>
    <x:row r="65" ht="21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 ht="21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 ht="32" customHeight="1">
      <x:c r="A67" s="9" t="str">
        <x:v>Data through</x:v>
      </x:c>
      <x:c r="B67" s="9" t="str">
        <x:v>Window start</x:v>
      </x:c>
      <x:c r="C67" s="9" t="str">
        <x:v>Window end</x:v>
      </x:c>
      <x:c r="D67" s="9" t="str">
        <x:v>3-year metric</x:v>
      </x:c>
      <x:c r="E67" s="2"/>
      <x:c r="F67" s="2"/>
      <x:c r="G67" s="2"/>
      <x:c r="H67" s="2"/>
      <x:c r="I67" s="2"/>
      <x:c r="J67" s="2"/>
      <x:c r="K67" s="2"/>
      <x:c r="L67" s="2"/>
    </x:row>
    <x:row r="68" ht="21" customHeight="1">
      <x:c r="A68" s="2" t="n">
        <x:v>2025</x:v>
      </x:c>
      <x:c r="B68" s="2" t="n">
        <x:v>2023</x:v>
      </x:c>
      <x:c r="C68" s="2" t="n">
        <x:v>2025</x:v>
      </x:c>
      <x:c r="D68" s="27" t="n">
        <x:f>AVERAGE(H61:H63)</x:f>
        <x:v>1.0898340398436022</x:v>
      </x:c>
      <x:c r="E68" s="2"/>
      <x:c r="F68" s="2"/>
      <x:c r="G68" s="2"/>
      <x:c r="H68" s="2"/>
      <x:c r="I68" s="2"/>
      <x:c r="J68" s="2"/>
      <x:c r="K68" s="2"/>
      <x:c r="L68" s="2"/>
    </x:row>
    <x:row r="69" ht="21" customHeight="1">
      <x:c r="A69" s="2" t="n">
        <x:v>2026</x:v>
      </x:c>
      <x:c r="B69" s="2" t="n">
        <x:v>2024</x:v>
      </x:c>
      <x:c r="C69" s="2" t="n">
        <x:v>2026</x:v>
      </x:c>
      <x:c r="D69" s="27" t="n">
        <x:f>AVERAGE(H62:H64)</x:f>
        <x:v>0.9533210476309782</x:v>
      </x:c>
      <x:c r="E69" s="2"/>
      <x:c r="F69" s="2"/>
      <x:c r="G69" s="2"/>
      <x:c r="H69" s="2"/>
      <x:c r="I69" s="2"/>
      <x:c r="J69" s="2"/>
      <x:c r="K69" s="2"/>
      <x:c r="L69" s="2"/>
    </x:row>
    <x:row r="70" ht="21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 ht="21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 ht="23" customHeight="1">
      <x:c r="A72" s="11" t="str">
        <x:v>Sources and calculation notes</x:v>
      </x:c>
      <x:c r="B72" s="11"/>
      <x:c r="C72" s="11"/>
      <x:c r="D72" s="11"/>
      <x:c r="E72" s="11"/>
      <x:c r="F72" s="11"/>
      <x:c r="G72" s="11"/>
      <x:c r="H72" s="11"/>
      <x:c r="I72" s="11"/>
      <x:c r="J72" s="11"/>
      <x:c r="K72" s="11"/>
      <x:c r="L72" s="11"/>
    </x:row>
    <x:row r="73" ht="21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 ht="21" customHeight="1">
      <x:c r="A74" s="5" t="str">
        <x:v>Source indices: current assessment Model 1.06, index-year and observed-index input blocks. Same data vintage for both cutoffs.</x:v>
      </x:c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5"/>
    </x:row>
    <x:row r="75" ht="21" customHeight="1">
      <x:c r="A75" s="5" t="str">
        <x:v>Chile Acoustic North has no 2022 value (4 reference observations). Offshore CPUE has no 2026 value. Blanks remain missing.</x:v>
      </x:c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5"/>
    </x:row>
    <x:row r="76" ht="21" customHeight="1">
      <x:c r="A76" s="5" t="str">
        <x:v>The 2026 annual mean uses 4 indices. Other recent annual means use 5. All available indices have equal weight within year.</x:v>
      </x:c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5"/>
    </x:row>
    <x:row r="77" ht="21" customHeight="1">
      <x:c r="A77" s="5" t="str">
        <x:v>Each index is divided by its available 2019–2023 mean. The three annual combined values then receive equal weights.</x:v>
      </x:c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5"/>
    </x:row>
    <x:row r="78" ht="21" customHeight="1">
      <x:c r="A78" s="5" t="str">
        <x:v>2026 advice inputs include current-year CPUE observations. Assessment CV adjustments do not change these equal CMP weights.</x:v>
      </x:c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5"/>
    </x:row>
    <x:row r="79" ht="21" customHeight="1">
      <x:c r="A79" s="5" t="str">
        <x:v>Hockey-stick raw TAC = minimum + (I − limit) × (target − minimum) / (trigger − limit), between the two thresholds.</x:v>
      </x:c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5"/>
    </x:row>
    <x:row r="80" ht="21" customHeight="1">
      <x:c r="A80" s="5" t="str">
        <x:v>At/below the index limit use the minimum. At/above the trigger use the target. Then apply the annual limits.</x:v>
      </x:c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5"/>
    </x:row>
    <x:row r="81" ht="21" customHeight="1">
      <x:c r="A81" s="5" t="str">
        <x:v>Final TAC = MAX(previous TAC × decrease factor, MIN(previous TAC × increase factor, raw TAC)).</x:v>
      </x:c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5"/>
    </x:row>
    <x:row r="82" ht="21" customHeight="1">
      <x:c r="A82" s="5" t="str">
        <x:v>SC14 release triggers: CMP29 = 2.125 and CMP45 = 2.0625. Definitions remain candidate procedures.</x:v>
      </x:c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5"/>
    </x:row>
    <x:row r="83" ht="21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 ht="21" customHeight="1">
      <x:c r="A84" s="2" t="str">
        <x:v>https://sprfmo.github.io/SC14_JM/tac-advice-2027-2028.html</x:v>
      </x:c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 ht="21" customHeight="1">
      <x:c r="A85" s="2" t="str">
        <x:v>https://github.com/SPRFMO/jjm/blob/main/assessment/input/1.06.dat</x:v>
      </x:c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 ht="21" customHeight="1">
      <x:c r="A86" s="2" t="str">
        <x:v>https://github.com/SPRFMO/jmMSE26/blob/codex/sc14-mse-papers/doc/data/cmp-registry.csv</x:v>
      </x:c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 ht="21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 ht="21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</x:sheetData>
  <x:conditionalFormatting sqref="L22:L29">
    <x:cfRule type="containsText" dxfId="0" priority="1" operator="containsText" text="limit"/>
  </x:conditionalFormatting>
  <x:dataValidations count="1">
    <x:dataValidation type="whole" operator="between" sqref="B15:B16">
      <x:formula1>1</x:formula1>
      <x:formula2>50000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0746F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15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5" hidden="0" customWidth="1"/>
    <x:col min="12" max="12" width="25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1" customHeight="1">
      <x:c r="A2" s="3" t="str">
        <x:v>Other SC14 CMPs: TAC advice for 2027 and 2028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21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</x:row>
    <x:row r="4" ht="21" customHeight="1">
      <x:c r="A4" s="5" t="str">
        <x:v>Same index data and 2026 TAC inputs as Main CMPs. Includes CMP32, CMP43, CMP44, CMP46, CMP47 and CMP48.</x:v>
      </x:c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</x:row>
    <x:row r="5" ht="21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32" customHeight="1">
      <x:c r="A6" s="9" t="str">
        <x:v>CMP</x:v>
      </x:c>
      <x:c r="B6" s="9" t="str">
        <x:v>2026 TAC (kt)</x:v>
      </x:c>
      <x:c r="C6" s="9" t="str">
        <x:v>2027 advice (kt)</x:v>
      </x:c>
      <x:c r="D6" s="9" t="str">
        <x:v>2028 advice (kt)</x:v>
      </x:c>
      <x:c r="E6" s="2"/>
      <x:c r="F6" s="2"/>
      <x:c r="G6" s="2"/>
      <x:c r="H6" s="2"/>
      <x:c r="I6" s="2"/>
      <x:c r="J6" s="2"/>
      <x:c r="K6" s="2"/>
      <x:c r="L6" s="2"/>
    </x:row>
    <x:row r="7" ht="21" customHeight="1">
      <x:c r="A7" s="17" t="str">
        <x:f>A25</x:f>
        <x:v>CMP32</x:v>
      </x:c>
      <x:c r="B7" s="18" t="n">
        <x:f>B25</x:f>
        <x:v>1675</x:v>
      </x:c>
      <x:c r="C7" s="19" t="n">
        <x:f>J25</x:f>
        <x:v>1423.75</x:v>
      </x:c>
      <x:c r="D7" s="19" t="n">
        <x:f>J26</x:f>
        <x:v>1210.1875</x:v>
      </x:c>
      <x:c r="E7" s="2"/>
      <x:c r="F7" s="2"/>
      <x:c r="G7" s="2"/>
      <x:c r="H7" s="2"/>
      <x:c r="I7" s="2"/>
      <x:c r="J7" s="2"/>
      <x:c r="K7" s="2"/>
      <x:c r="L7" s="2"/>
    </x:row>
    <x:row r="8" ht="21" customHeight="1">
      <x:c r="A8" s="2" t="str">
        <x:f>A27</x:f>
        <x:v>CMP32</x:v>
      </x:c>
      <x:c r="B8" s="14" t="n">
        <x:f>B27</x:f>
        <x:v>1092</x:v>
      </x:c>
      <x:c r="C8" s="20" t="n">
        <x:f>J27</x:f>
        <x:v>928.1999999999999</x:v>
      </x:c>
      <x:c r="D8" s="20" t="n">
        <x:f>J28</x:f>
        <x:v>788.9699999999999</x:v>
      </x:c>
      <x:c r="E8" s="2"/>
      <x:c r="F8" s="2"/>
      <x:c r="G8" s="2"/>
      <x:c r="H8" s="2"/>
      <x:c r="I8" s="2"/>
      <x:c r="J8" s="2"/>
      <x:c r="K8" s="2"/>
      <x:c r="L8" s="2"/>
    </x:row>
    <x:row r="9" ht="21" customHeight="1">
      <x:c r="A9" s="17" t="str">
        <x:f>A29</x:f>
        <x:v>CMP43</x:v>
      </x:c>
      <x:c r="B9" s="18" t="n">
        <x:f>B29</x:f>
        <x:v>1675</x:v>
      </x:c>
      <x:c r="C9" s="19" t="n">
        <x:f>J29</x:f>
        <x:v>1340</x:v>
      </x:c>
      <x:c r="D9" s="19" t="n">
        <x:f>J30</x:f>
        <x:v>1073.3988638920232</x:v>
      </x:c>
      <x:c r="E9" s="2"/>
      <x:c r="F9" s="2"/>
      <x:c r="G9" s="2"/>
      <x:c r="H9" s="2"/>
      <x:c r="I9" s="2"/>
      <x:c r="J9" s="2"/>
      <x:c r="K9" s="2"/>
      <x:c r="L9" s="2"/>
    </x:row>
    <x:row r="10" ht="21" customHeight="1">
      <x:c r="A10" s="2" t="str">
        <x:f>A31</x:f>
        <x:v>CMP43</x:v>
      </x:c>
      <x:c r="B10" s="14" t="n">
        <x:f>B31</x:f>
        <x:v>1092</x:v>
      </x:c>
      <x:c r="C10" s="20" t="n">
        <x:f>J31</x:f>
        <x:v>1201.9253817303031</x:v>
      </x:c>
      <x:c r="D10" s="20" t="n">
        <x:f>J32</x:f>
        <x:v>1073.3988638920232</x:v>
      </x:c>
      <x:c r="E10" s="2"/>
      <x:c r="F10" s="2"/>
      <x:c r="G10" s="2"/>
      <x:c r="H10" s="2"/>
      <x:c r="I10" s="2"/>
      <x:c r="J10" s="2"/>
      <x:c r="K10" s="2"/>
      <x:c r="L10" s="2"/>
    </x:row>
    <x:row r="11" ht="21" customHeight="1">
      <x:c r="A11" s="17" t="str">
        <x:f>A33</x:f>
        <x:v>CMP44</x:v>
      </x:c>
      <x:c r="B11" s="18" t="n">
        <x:f>B33</x:f>
        <x:v>1675</x:v>
      </x:c>
      <x:c r="C11" s="19" t="n">
        <x:f>J33</x:f>
        <x:v>1340</x:v>
      </x:c>
      <x:c r="D11" s="19" t="n">
        <x:f>J34</x:f>
        <x:v>1072</x:v>
      </x:c>
      <x:c r="E11" s="2"/>
      <x:c r="F11" s="2"/>
      <x:c r="G11" s="2"/>
      <x:c r="H11" s="2"/>
      <x:c r="I11" s="2"/>
      <x:c r="J11" s="2"/>
      <x:c r="K11" s="2"/>
      <x:c r="L11" s="2"/>
    </x:row>
    <x:row r="12" ht="21" customHeight="1">
      <x:c r="A12" s="2" t="str">
        <x:f>A35</x:f>
        <x:v>CMP44</x:v>
      </x:c>
      <x:c r="B12" s="14" t="n">
        <x:f>B35</x:f>
        <x:v>1092</x:v>
      </x:c>
      <x:c r="C12" s="20" t="n">
        <x:f>J35</x:f>
        <x:v>873.6</x:v>
      </x:c>
      <x:c r="D12" s="20" t="n">
        <x:f>J36</x:f>
        <x:v>698.8800000000001</x:v>
      </x:c>
      <x:c r="E12" s="2"/>
      <x:c r="F12" s="2"/>
      <x:c r="G12" s="2"/>
      <x:c r="H12" s="2"/>
      <x:c r="I12" s="2"/>
      <x:c r="J12" s="2"/>
      <x:c r="K12" s="2"/>
      <x:c r="L12" s="2"/>
    </x:row>
    <x:row r="13" ht="21" customHeight="1">
      <x:c r="A13" s="17" t="str">
        <x:f>A37</x:f>
        <x:v>CMP46</x:v>
      </x:c>
      <x:c r="B13" s="18" t="n">
        <x:f>B37</x:f>
        <x:v>1675</x:v>
      </x:c>
      <x:c r="C13" s="19" t="n">
        <x:f>J37</x:f>
        <x:v>1423.75</x:v>
      </x:c>
      <x:c r="D13" s="19" t="n">
        <x:f>J38</x:f>
        <x:v>1210.1875</x:v>
      </x:c>
      <x:c r="E13" s="2"/>
      <x:c r="F13" s="2"/>
      <x:c r="G13" s="2"/>
      <x:c r="H13" s="2"/>
      <x:c r="I13" s="2"/>
      <x:c r="J13" s="2"/>
      <x:c r="K13" s="2"/>
      <x:c r="L13" s="2"/>
    </x:row>
    <x:row r="14" ht="21" customHeight="1">
      <x:c r="A14" s="2" t="str">
        <x:f>A39</x:f>
        <x:v>CMP46</x:v>
      </x:c>
      <x:c r="B14" s="14" t="n">
        <x:f>B39</x:f>
        <x:v>1092</x:v>
      </x:c>
      <x:c r="C14" s="20" t="n">
        <x:f>J39</x:f>
        <x:v>928.1999999999999</x:v>
      </x:c>
      <x:c r="D14" s="20" t="n">
        <x:f>J40</x:f>
        <x:v>788.9699999999999</x:v>
      </x:c>
      <x:c r="E14" s="2"/>
      <x:c r="F14" s="2"/>
      <x:c r="G14" s="2"/>
      <x:c r="H14" s="2"/>
      <x:c r="I14" s="2"/>
      <x:c r="J14" s="2"/>
      <x:c r="K14" s="2"/>
      <x:c r="L14" s="2"/>
    </x:row>
    <x:row r="15" ht="21" customHeight="1">
      <x:c r="A15" s="17" t="str">
        <x:f>A41</x:f>
        <x:v>CMP47</x:v>
      </x:c>
      <x:c r="B15" s="18" t="n">
        <x:f>B41</x:f>
        <x:v>1675</x:v>
      </x:c>
      <x:c r="C15" s="19" t="n">
        <x:f>J41</x:f>
        <x:v>1172.5</x:v>
      </x:c>
      <x:c r="D15" s="19" t="n">
        <x:f>J42</x:f>
        <x:v>1046.9712696850488</x:v>
      </x:c>
      <x:c r="E15" s="2"/>
      <x:c r="F15" s="2"/>
      <x:c r="G15" s="2"/>
      <x:c r="H15" s="2"/>
      <x:c r="I15" s="2"/>
      <x:c r="J15" s="2"/>
      <x:c r="K15" s="2"/>
      <x:c r="L15" s="2"/>
    </x:row>
    <x:row r="16" ht="21" customHeight="1">
      <x:c r="A16" s="2" t="str">
        <x:f>A43</x:f>
        <x:v>CMP47</x:v>
      </x:c>
      <x:c r="B16" s="14" t="n">
        <x:f>B43</x:f>
        <x:v>1092</x:v>
      </x:c>
      <x:c r="C16" s="20" t="n">
        <x:f>J43</x:f>
        <x:v>1171.2699415418062</x:v>
      </x:c>
      <x:c r="D16" s="20" t="n">
        <x:f>J44</x:f>
        <x:v>1046.9712696850488</x:v>
      </x:c>
      <x:c r="E16" s="2"/>
      <x:c r="F16" s="2"/>
      <x:c r="G16" s="2"/>
      <x:c r="H16" s="2"/>
      <x:c r="I16" s="2"/>
      <x:c r="J16" s="2"/>
      <x:c r="K16" s="2"/>
      <x:c r="L16" s="2"/>
    </x:row>
    <x:row r="17" ht="21" customHeight="1">
      <x:c r="A17" s="17" t="str">
        <x:f>A45</x:f>
        <x:v>CMP48</x:v>
      </x:c>
      <x:c r="B17" s="18" t="n">
        <x:f>B45</x:f>
        <x:v>1675</x:v>
      </x:c>
      <x:c r="C17" s="19" t="n">
        <x:f>J45</x:f>
        <x:v>1172.5</x:v>
      </x:c>
      <x:c r="D17" s="19" t="n">
        <x:f>J46</x:f>
        <x:v>820.75</x:v>
      </x:c>
      <x:c r="E17" s="2"/>
      <x:c r="F17" s="2"/>
      <x:c r="G17" s="2"/>
      <x:c r="H17" s="2"/>
      <x:c r="I17" s="2"/>
      <x:c r="J17" s="2"/>
      <x:c r="K17" s="2"/>
      <x:c r="L17" s="2"/>
    </x:row>
    <x:row r="18" ht="21" customHeight="1">
      <x:c r="A18" s="2" t="str">
        <x:f>A47</x:f>
        <x:v>CMP48</x:v>
      </x:c>
      <x:c r="B18" s="14" t="n">
        <x:f>B47</x:f>
        <x:v>1092</x:v>
      </x:c>
      <x:c r="C18" s="20" t="n">
        <x:f>J47</x:f>
        <x:v>764.4</x:v>
      </x:c>
      <x:c r="D18" s="20" t="n">
        <x:f>J48</x:f>
        <x:v>581.4643538003734</x:v>
      </x:c>
      <x:c r="E18" s="2"/>
      <x:c r="F18" s="2"/>
      <x:c r="G18" s="2"/>
      <x:c r="H18" s="2"/>
      <x:c r="I18" s="2"/>
      <x:c r="J18" s="2"/>
      <x:c r="K18" s="2"/>
      <x:c r="L18" s="2"/>
    </x:row>
    <x:row r="19" ht="21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 ht="21" customHeight="1">
      <x:c r="A20" s="5" t="str">
        <x:v>2027 uses data through 2025. 2028 uses available data through 2026 and each CMP’s preceding advice.</x:v>
      </x:c>
      <x:c r="B20" s="5"/>
      <x:c r="C20" s="5"/>
      <x:c r="D20" s="5"/>
      <x:c r="E20" s="5"/>
      <x:c r="F20" s="5"/>
      <x:c r="G20" s="5"/>
      <x:c r="H20" s="5"/>
      <x:c r="I20" s="5"/>
      <x:c r="J20" s="5"/>
      <x:c r="K20" s="5"/>
      <x:c r="L20" s="5"/>
    </x:row>
    <x:row r="21" ht="21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 ht="21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 ht="23" customHeight="1">
      <x:c r="A23" s="11" t="str">
        <x:v>Calculation steps and annual limits</x:v>
      </x:c>
      <x:c r="B23" s="11"/>
      <x:c r="C23" s="11"/>
      <x:c r="D23" s="11"/>
      <x:c r="E23" s="11"/>
      <x:c r="F23" s="11"/>
      <x:c r="G23" s="11"/>
      <x:c r="H23" s="11"/>
      <x:c r="I23" s="11"/>
      <x:c r="J23" s="11"/>
      <x:c r="K23" s="11"/>
      <x:c r="L23" s="11"/>
    </x:row>
    <x:row r="24" ht="32" customHeight="1">
      <x:c r="A24" s="9" t="str">
        <x:v>CMP</x:v>
      </x:c>
      <x:c r="B24" s="9" t="str">
        <x:v>2026 TAC (kt)</x:v>
      </x:c>
      <x:c r="C24" s="9" t="str">
        <x:v>Advice year</x:v>
      </x:c>
      <x:c r="D24" s="9" t="str">
        <x:v>Data through</x:v>
      </x:c>
      <x:c r="E24" s="9" t="str">
        <x:v>Index metric</x:v>
      </x:c>
      <x:c r="F24" s="9" t="str">
        <x:v>Prior TAC (kt)</x:v>
      </x:c>
      <x:c r="G24" s="9" t="str">
        <x:v>Raw TAC (kt)</x:v>
      </x:c>
      <x:c r="H24" s="9" t="str">
        <x:v>Lower limit (kt)</x:v>
      </x:c>
      <x:c r="I24" s="9" t="str">
        <x:v>Upper limit (kt)</x:v>
      </x:c>
      <x:c r="J24" s="9" t="str">
        <x:v>TAC advice (kt)</x:v>
      </x:c>
      <x:c r="K24" s="9" t="str">
        <x:v>Annual change</x:v>
      </x:c>
      <x:c r="L24" s="9" t="str">
        <x:v>Binding rule</x:v>
      </x:c>
    </x:row>
    <x:row r="25" ht="21" customHeight="1">
      <x:c r="A25" s="17" t="str">
        <x:v>CMP32</x:v>
      </x:c>
      <x:c r="B25" s="18" t="n">
        <x:f>'Main CMPs'!$B$15</x:f>
        <x:v>1675</x:v>
      </x:c>
      <x:c r="C25" s="17" t="n">
        <x:v>2027</x:v>
      </x:c>
      <x:c r="D25" s="17" t="n">
        <x:v>2025</x:v>
      </x:c>
      <x:c r="E25" s="21" t="n">
        <x:f>'Main CMPs'!$D$68</x:f>
        <x:v>1.0898340398436022</x:v>
      </x:c>
      <x:c r="F25" s="18" t="n">
        <x:f>B25</x:f>
        <x:v>1675</x:v>
      </x:c>
      <x:c r="G25" s="18" t="n">
        <x:f>IF(E25&lt;=$E$54,$D$54,IF(E25&lt;$F$54,$D$54+($C$54-$D$54)*((E25-$E$54)/IF($F$54=$E$54,0.000001,$F$54-$E$54))^$B$62,$C$54*($B$64+(1-$B$64)*((E25-$E$54)/IF($F$54=$E$54,0.000001,$F$54-$E$54)))^$B$63))</x:f>
        <x:v>676.9759271635146</x:v>
      </x:c>
      <x:c r="H25" s="18" t="n">
        <x:f>F25*$G$54</x:f>
        <x:v>1423.75</x:v>
      </x:c>
      <x:c r="I25" s="18" t="n">
        <x:f>F25*$H$54</x:f>
        <x:v>2010</x:v>
      </x:c>
      <x:c r="J25" s="19" t="n">
        <x:f>MAX(H25,MIN(I25,G25))</x:f>
        <x:v>1423.75</x:v>
      </x:c>
      <x:c r="K25" s="23" t="n">
        <x:f>J25/F25-1</x:f>
        <x:v>-0.15000000000000002</x:v>
      </x:c>
      <x:c r="L25" s="17" t="str">
        <x:f>IF(G25&lt;H25,"Decrease limit",IF(G25&gt;I25,"Increase limit","Index rule"))</x:f>
        <x:v>Decrease limit</x:v>
      </x:c>
    </x:row>
    <x:row r="26" ht="21" customHeight="1">
      <x:c r="A26" s="2" t="str">
        <x:v>CMP32</x:v>
      </x:c>
      <x:c r="B26" s="14" t="n">
        <x:f>'Main CMPs'!$B$15</x:f>
        <x:v>1675</x:v>
      </x:c>
      <x:c r="C26" s="2" t="n">
        <x:v>2028</x:v>
      </x:c>
      <x:c r="D26" s="2" t="n">
        <x:v>2026</x:v>
      </x:c>
      <x:c r="E26" s="22" t="n">
        <x:f>'Main CMPs'!$D$69</x:f>
        <x:v>0.9533210476309782</x:v>
      </x:c>
      <x:c r="F26" s="14" t="n">
        <x:f>J25</x:f>
        <x:v>1423.75</x:v>
      </x:c>
      <x:c r="G26" s="14" t="n">
        <x:f>IF(E26&lt;=$E$54,$D$54,IF(E26&lt;$F$54,$D$54+($C$54-$D$54)*((E26-$E$54)/IF($F$54=$E$54,0.000001,$F$54-$E$54))^$B$62,$C$54*($B$64+(1-$B$64)*((E26-$E$54)/IF($F$54=$E$54,0.000001,$F$54-$E$54)))^$B$63))</x:f>
        <x:v>550.8302610942553</x:v>
      </x:c>
      <x:c r="H26" s="14" t="n">
        <x:f>F26*$G$54</x:f>
        <x:v>1210.1875</x:v>
      </x:c>
      <x:c r="I26" s="14" t="n">
        <x:f>F26*$H$54</x:f>
        <x:v>1708.5</x:v>
      </x:c>
      <x:c r="J26" s="20" t="n">
        <x:f>MAX(H26,MIN(I26,G26))</x:f>
        <x:v>1210.1875</x:v>
      </x:c>
      <x:c r="K26" s="24" t="n">
        <x:f>J26/F26-1</x:f>
        <x:v>-0.15000000000000002</x:v>
      </x:c>
      <x:c r="L26" s="2" t="str">
        <x:f>IF(G26&lt;H26,"Decrease limit",IF(G26&gt;I26,"Increase limit","Index rule"))</x:f>
        <x:v>Decrease limit</x:v>
      </x:c>
    </x:row>
    <x:row r="27" ht="21" customHeight="1">
      <x:c r="A27" s="17" t="str">
        <x:v>CMP32</x:v>
      </x:c>
      <x:c r="B27" s="18" t="n">
        <x:f>'Main CMPs'!$B$16</x:f>
        <x:v>1092</x:v>
      </x:c>
      <x:c r="C27" s="17" t="n">
        <x:v>2027</x:v>
      </x:c>
      <x:c r="D27" s="17" t="n">
        <x:v>2025</x:v>
      </x:c>
      <x:c r="E27" s="21" t="n">
        <x:f>'Main CMPs'!$D$68</x:f>
        <x:v>1.0898340398436022</x:v>
      </x:c>
      <x:c r="F27" s="18" t="n">
        <x:f>B27</x:f>
        <x:v>1092</x:v>
      </x:c>
      <x:c r="G27" s="18" t="n">
        <x:f>IF(E27&lt;=$E$54,$D$54,IF(E27&lt;$F$54,$D$54+($C$54-$D$54)*((E27-$E$54)/IF($F$54=$E$54,0.000001,$F$54-$E$54))^$B$62,$C$54*($B$64+(1-$B$64)*((E27-$E$54)/IF($F$54=$E$54,0.000001,$F$54-$E$54)))^$B$63))</x:f>
        <x:v>676.9759271635146</x:v>
      </x:c>
      <x:c r="H27" s="18" t="n">
        <x:f>F27*$G$54</x:f>
        <x:v>928.1999999999999</x:v>
      </x:c>
      <x:c r="I27" s="18" t="n">
        <x:f>F27*$H$54</x:f>
        <x:v>1310.3999999999999</x:v>
      </x:c>
      <x:c r="J27" s="19" t="n">
        <x:f>MAX(H27,MIN(I27,G27))</x:f>
        <x:v>928.1999999999999</x:v>
      </x:c>
      <x:c r="K27" s="23" t="n">
        <x:f>J27/F27-1</x:f>
        <x:v>-0.15000000000000002</x:v>
      </x:c>
      <x:c r="L27" s="17" t="str">
        <x:f>IF(G27&lt;H27,"Decrease limit",IF(G27&gt;I27,"Increase limit","Index rule"))</x:f>
        <x:v>Decrease limit</x:v>
      </x:c>
    </x:row>
    <x:row r="28" ht="21" customHeight="1">
      <x:c r="A28" s="2" t="str">
        <x:v>CMP32</x:v>
      </x:c>
      <x:c r="B28" s="14" t="n">
        <x:f>'Main CMPs'!$B$16</x:f>
        <x:v>1092</x:v>
      </x:c>
      <x:c r="C28" s="2" t="n">
        <x:v>2028</x:v>
      </x:c>
      <x:c r="D28" s="2" t="n">
        <x:v>2026</x:v>
      </x:c>
      <x:c r="E28" s="22" t="n">
        <x:f>'Main CMPs'!$D$69</x:f>
        <x:v>0.9533210476309782</x:v>
      </x:c>
      <x:c r="F28" s="14" t="n">
        <x:f>J27</x:f>
        <x:v>928.1999999999999</x:v>
      </x:c>
      <x:c r="G28" s="14" t="n">
        <x:f>IF(E28&lt;=$E$54,$D$54,IF(E28&lt;$F$54,$D$54+($C$54-$D$54)*((E28-$E$54)/IF($F$54=$E$54,0.000001,$F$54-$E$54))^$B$62,$C$54*($B$64+(1-$B$64)*((E28-$E$54)/IF($F$54=$E$54,0.000001,$F$54-$E$54)))^$B$63))</x:f>
        <x:v>550.8302610942553</x:v>
      </x:c>
      <x:c r="H28" s="14" t="n">
        <x:f>F28*$G$54</x:f>
        <x:v>788.9699999999999</x:v>
      </x:c>
      <x:c r="I28" s="14" t="n">
        <x:f>F28*$H$54</x:f>
        <x:v>1113.84</x:v>
      </x:c>
      <x:c r="J28" s="20" t="n">
        <x:f>MAX(H28,MIN(I28,G28))</x:f>
        <x:v>788.9699999999999</x:v>
      </x:c>
      <x:c r="K28" s="24" t="n">
        <x:f>J28/F28-1</x:f>
        <x:v>-0.15000000000000002</x:v>
      </x:c>
      <x:c r="L28" s="2" t="str">
        <x:f>IF(G28&lt;H28,"Decrease limit",IF(G28&gt;I28,"Increase limit","Index rule"))</x:f>
        <x:v>Decrease limit</x:v>
      </x:c>
    </x:row>
    <x:row r="29" ht="21" customHeight="1">
      <x:c r="A29" s="17" t="str">
        <x:v>CMP43</x:v>
      </x:c>
      <x:c r="B29" s="18" t="n">
        <x:f>'Main CMPs'!$B$15</x:f>
        <x:v>1675</x:v>
      </x:c>
      <x:c r="C29" s="17" t="n">
        <x:v>2027</x:v>
      </x:c>
      <x:c r="D29" s="17" t="n">
        <x:v>2025</x:v>
      </x:c>
      <x:c r="E29" s="21" t="n">
        <x:f>'Main CMPs'!$D$68</x:f>
        <x:v>1.0898340398436022</x:v>
      </x:c>
      <x:c r="F29" s="18" t="n">
        <x:f>B29</x:f>
        <x:v>1675</x:v>
      </x:c>
      <x:c r="G29" s="18" t="n">
        <x:f>IF(E29&lt;=$E$55,$D$55,IF(E29&lt;$F$55,$D$55+(E29-$E$55)*($C$55-$D$55)/($F$55-$E$55),$C$55))</x:f>
        <x:v>1201.9253817303031</x:v>
      </x:c>
      <x:c r="H29" s="18" t="n">
        <x:f>F29*$G$55</x:f>
        <x:v>1340</x:v>
      </x:c>
      <x:c r="I29" s="18" t="n">
        <x:f>F29*$H$55</x:f>
        <x:v>1926.2499999999998</x:v>
      </x:c>
      <x:c r="J29" s="19" t="n">
        <x:f>MAX(H29,MIN(I29,G29))</x:f>
        <x:v>1340</x:v>
      </x:c>
      <x:c r="K29" s="23" t="n">
        <x:f>J29/F29-1</x:f>
        <x:v>-0.19999999999999996</x:v>
      </x:c>
      <x:c r="L29" s="17" t="str">
        <x:f>IF(G29&lt;H29,"Decrease limit",IF(G29&gt;I29,"Increase limit","Index rule"))</x:f>
        <x:v>Decrease limit</x:v>
      </x:c>
    </x:row>
    <x:row r="30" ht="21" customHeight="1">
      <x:c r="A30" s="2" t="str">
        <x:v>CMP43</x:v>
      </x:c>
      <x:c r="B30" s="14" t="n">
        <x:f>'Main CMPs'!$B$15</x:f>
        <x:v>1675</x:v>
      </x:c>
      <x:c r="C30" s="2" t="n">
        <x:v>2028</x:v>
      </x:c>
      <x:c r="D30" s="2" t="n">
        <x:v>2026</x:v>
      </x:c>
      <x:c r="E30" s="22" t="n">
        <x:f>'Main CMPs'!$D$69</x:f>
        <x:v>0.9533210476309782</x:v>
      </x:c>
      <x:c r="F30" s="14" t="n">
        <x:f>J29</x:f>
        <x:v>1340</x:v>
      </x:c>
      <x:c r="G30" s="14" t="n">
        <x:f>IF(E30&lt;=$E$55,$D$55,IF(E30&lt;$F$55,$D$55+(E30-$E$55)*($C$55-$D$55)/($F$55-$E$55),$C$55))</x:f>
        <x:v>1073.3988638920232</x:v>
      </x:c>
      <x:c r="H30" s="14" t="n">
        <x:f>F30*$G$55</x:f>
        <x:v>1072</x:v>
      </x:c>
      <x:c r="I30" s="14" t="n">
        <x:f>F30*$H$55</x:f>
        <x:v>1540.9999999999998</x:v>
      </x:c>
      <x:c r="J30" s="20" t="n">
        <x:f>MAX(H30,MIN(I30,G30))</x:f>
        <x:v>1073.3988638920232</x:v>
      </x:c>
      <x:c r="K30" s="24" t="n">
        <x:f>J30/F30-1</x:f>
        <x:v>-0.19895607172237073</x:v>
      </x:c>
      <x:c r="L30" s="2" t="str">
        <x:f>IF(G30&lt;H30,"Decrease limit",IF(G30&gt;I30,"Increase limit","Index rule"))</x:f>
        <x:v>Index rule</x:v>
      </x:c>
    </x:row>
    <x:row r="31" ht="21" customHeight="1">
      <x:c r="A31" s="17" t="str">
        <x:v>CMP43</x:v>
      </x:c>
      <x:c r="B31" s="18" t="n">
        <x:f>'Main CMPs'!$B$16</x:f>
        <x:v>1092</x:v>
      </x:c>
      <x:c r="C31" s="17" t="n">
        <x:v>2027</x:v>
      </x:c>
      <x:c r="D31" s="17" t="n">
        <x:v>2025</x:v>
      </x:c>
      <x:c r="E31" s="21" t="n">
        <x:f>'Main CMPs'!$D$68</x:f>
        <x:v>1.0898340398436022</x:v>
      </x:c>
      <x:c r="F31" s="18" t="n">
        <x:f>B31</x:f>
        <x:v>1092</x:v>
      </x:c>
      <x:c r="G31" s="18" t="n">
        <x:f>IF(E31&lt;=$E$55,$D$55,IF(E31&lt;$F$55,$D$55+(E31-$E$55)*($C$55-$D$55)/($F$55-$E$55),$C$55))</x:f>
        <x:v>1201.9253817303031</x:v>
      </x:c>
      <x:c r="H31" s="18" t="n">
        <x:f>F31*$G$55</x:f>
        <x:v>873.6</x:v>
      </x:c>
      <x:c r="I31" s="18" t="n">
        <x:f>F31*$H$55</x:f>
        <x:v>1255.8</x:v>
      </x:c>
      <x:c r="J31" s="19" t="n">
        <x:f>MAX(H31,MIN(I31,G31))</x:f>
        <x:v>1201.9253817303031</x:v>
      </x:c>
      <x:c r="K31" s="23" t="n">
        <x:f>J31/F31-1</x:f>
        <x:v>0.10066426898379399</x:v>
      </x:c>
      <x:c r="L31" s="17" t="str">
        <x:f>IF(G31&lt;H31,"Decrease limit",IF(G31&gt;I31,"Increase limit","Index rule"))</x:f>
        <x:v>Index rule</x:v>
      </x:c>
    </x:row>
    <x:row r="32" ht="21" customHeight="1">
      <x:c r="A32" s="2" t="str">
        <x:v>CMP43</x:v>
      </x:c>
      <x:c r="B32" s="14" t="n">
        <x:f>'Main CMPs'!$B$16</x:f>
        <x:v>1092</x:v>
      </x:c>
      <x:c r="C32" s="2" t="n">
        <x:v>2028</x:v>
      </x:c>
      <x:c r="D32" s="2" t="n">
        <x:v>2026</x:v>
      </x:c>
      <x:c r="E32" s="22" t="n">
        <x:f>'Main CMPs'!$D$69</x:f>
        <x:v>0.9533210476309782</x:v>
      </x:c>
      <x:c r="F32" s="14" t="n">
        <x:f>J31</x:f>
        <x:v>1201.9253817303031</x:v>
      </x:c>
      <x:c r="G32" s="14" t="n">
        <x:f>IF(E32&lt;=$E$55,$D$55,IF(E32&lt;$F$55,$D$55+(E32-$E$55)*($C$55-$D$55)/($F$55-$E$55),$C$55))</x:f>
        <x:v>1073.3988638920232</x:v>
      </x:c>
      <x:c r="H32" s="14" t="n">
        <x:f>F32*$G$55</x:f>
        <x:v>961.5403053842425</x:v>
      </x:c>
      <x:c r="I32" s="14" t="n">
        <x:f>F32*$H$55</x:f>
        <x:v>1382.2141889898485</x:v>
      </x:c>
      <x:c r="J32" s="20" t="n">
        <x:f>MAX(H32,MIN(I32,G32))</x:f>
        <x:v>1073.3988638920232</x:v>
      </x:c>
      <x:c r="K32" s="24" t="n">
        <x:f>J32/F32-1</x:f>
        <x:v>-0.10693385778512465</x:v>
      </x:c>
      <x:c r="L32" s="2" t="str">
        <x:f>IF(G32&lt;H32,"Decrease limit",IF(G32&gt;I32,"Increase limit","Index rule"))</x:f>
        <x:v>Index rule</x:v>
      </x:c>
    </x:row>
    <x:row r="33" ht="21" customHeight="1">
      <x:c r="A33" s="17" t="str">
        <x:v>CMP44</x:v>
      </x:c>
      <x:c r="B33" s="18" t="n">
        <x:f>'Main CMPs'!$B$15</x:f>
        <x:v>1675</x:v>
      </x:c>
      <x:c r="C33" s="17" t="n">
        <x:v>2027</x:v>
      </x:c>
      <x:c r="D33" s="17" t="n">
        <x:v>2025</x:v>
      </x:c>
      <x:c r="E33" s="21" t="n">
        <x:f>'Main CMPs'!$D$68</x:f>
        <x:v>1.0898340398436022</x:v>
      </x:c>
      <x:c r="F33" s="18" t="n">
        <x:f>B33</x:f>
        <x:v>1675</x:v>
      </x:c>
      <x:c r="G33" s="18" t="n">
        <x:f>IF(E33&lt;=$E$56,$D$56,IF(E33&lt;$F$56,$D$56+($C$56-$D$56)*((E33-$E$56)/IF($F$56=$E$56,0.000001,$F$56-$E$56))^$B$62,$C$56*($B$64+(1-$B$64)*((E33-$E$56)/IF($F$56=$E$56,0.000001,$F$56-$E$56)))^$B$63))</x:f>
        <x:v>703.9628367196754</x:v>
      </x:c>
      <x:c r="H33" s="18" t="n">
        <x:f>F33*$G$56</x:f>
        <x:v>1340</x:v>
      </x:c>
      <x:c r="I33" s="18" t="n">
        <x:f>F33*$H$56</x:f>
        <x:v>1926.2499999999998</x:v>
      </x:c>
      <x:c r="J33" s="19" t="n">
        <x:f>MAX(H33,MIN(I33,G33))</x:f>
        <x:v>1340</x:v>
      </x:c>
      <x:c r="K33" s="23" t="n">
        <x:f>J33/F33-1</x:f>
        <x:v>-0.19999999999999996</x:v>
      </x:c>
      <x:c r="L33" s="17" t="str">
        <x:f>IF(G33&lt;H33,"Decrease limit",IF(G33&gt;I33,"Increase limit","Index rule"))</x:f>
        <x:v>Decrease limit</x:v>
      </x:c>
    </x:row>
    <x:row r="34" ht="21" customHeight="1">
      <x:c r="A34" s="2" t="str">
        <x:v>CMP44</x:v>
      </x:c>
      <x:c r="B34" s="14" t="n">
        <x:f>'Main CMPs'!$B$15</x:f>
        <x:v>1675</x:v>
      </x:c>
      <x:c r="C34" s="2" t="n">
        <x:v>2028</x:v>
      </x:c>
      <x:c r="D34" s="2" t="n">
        <x:v>2026</x:v>
      </x:c>
      <x:c r="E34" s="22" t="n">
        <x:f>'Main CMPs'!$D$69</x:f>
        <x:v>0.9533210476309782</x:v>
      </x:c>
      <x:c r="F34" s="14" t="n">
        <x:f>J33</x:f>
        <x:v>1340</x:v>
      </x:c>
      <x:c r="G34" s="14" t="n">
        <x:f>IF(E34&lt;=$E$56,$D$56,IF(E34&lt;$F$56,$D$56+($C$56-$D$56)*((E34-$E$56)/IF($F$56=$E$56,0.000001,$F$56-$E$56))^$B$62,$C$56*($B$64+(1-$B$64)*((E34-$E$56)/IF($F$56=$E$56,0.000001,$F$56-$E$56)))^$B$63))</x:f>
        <x:v>569.4523474412413</x:v>
      </x:c>
      <x:c r="H34" s="14" t="n">
        <x:f>F34*$G$56</x:f>
        <x:v>1072</x:v>
      </x:c>
      <x:c r="I34" s="14" t="n">
        <x:f>F34*$H$56</x:f>
        <x:v>1540.9999999999998</x:v>
      </x:c>
      <x:c r="J34" s="20" t="n">
        <x:f>MAX(H34,MIN(I34,G34))</x:f>
        <x:v>1072</x:v>
      </x:c>
      <x:c r="K34" s="24" t="n">
        <x:f>J34/F34-1</x:f>
        <x:v>-0.19999999999999996</x:v>
      </x:c>
      <x:c r="L34" s="2" t="str">
        <x:f>IF(G34&lt;H34,"Decrease limit",IF(G34&gt;I34,"Increase limit","Index rule"))</x:f>
        <x:v>Decrease limit</x:v>
      </x:c>
    </x:row>
    <x:row r="35" ht="21" customHeight="1">
      <x:c r="A35" s="17" t="str">
        <x:v>CMP44</x:v>
      </x:c>
      <x:c r="B35" s="18" t="n">
        <x:f>'Main CMPs'!$B$16</x:f>
        <x:v>1092</x:v>
      </x:c>
      <x:c r="C35" s="17" t="n">
        <x:v>2027</x:v>
      </x:c>
      <x:c r="D35" s="17" t="n">
        <x:v>2025</x:v>
      </x:c>
      <x:c r="E35" s="21" t="n">
        <x:f>'Main CMPs'!$D$68</x:f>
        <x:v>1.0898340398436022</x:v>
      </x:c>
      <x:c r="F35" s="18" t="n">
        <x:f>B35</x:f>
        <x:v>1092</x:v>
      </x:c>
      <x:c r="G35" s="18" t="n">
        <x:f>IF(E35&lt;=$E$56,$D$56,IF(E35&lt;$F$56,$D$56+($C$56-$D$56)*((E35-$E$56)/IF($F$56=$E$56,0.000001,$F$56-$E$56))^$B$62,$C$56*($B$64+(1-$B$64)*((E35-$E$56)/IF($F$56=$E$56,0.000001,$F$56-$E$56)))^$B$63))</x:f>
        <x:v>703.9628367196754</x:v>
      </x:c>
      <x:c r="H35" s="18" t="n">
        <x:f>F35*$G$56</x:f>
        <x:v>873.6</x:v>
      </x:c>
      <x:c r="I35" s="18" t="n">
        <x:f>F35*$H$56</x:f>
        <x:v>1255.8</x:v>
      </x:c>
      <x:c r="J35" s="19" t="n">
        <x:f>MAX(H35,MIN(I35,G35))</x:f>
        <x:v>873.6</x:v>
      </x:c>
      <x:c r="K35" s="23" t="n">
        <x:f>J35/F35-1</x:f>
        <x:v>-0.19999999999999996</x:v>
      </x:c>
      <x:c r="L35" s="17" t="str">
        <x:f>IF(G35&lt;H35,"Decrease limit",IF(G35&gt;I35,"Increase limit","Index rule"))</x:f>
        <x:v>Decrease limit</x:v>
      </x:c>
    </x:row>
    <x:row r="36" ht="21" customHeight="1">
      <x:c r="A36" s="2" t="str">
        <x:v>CMP44</x:v>
      </x:c>
      <x:c r="B36" s="14" t="n">
        <x:f>'Main CMPs'!$B$16</x:f>
        <x:v>1092</x:v>
      </x:c>
      <x:c r="C36" s="2" t="n">
        <x:v>2028</x:v>
      </x:c>
      <x:c r="D36" s="2" t="n">
        <x:v>2026</x:v>
      </x:c>
      <x:c r="E36" s="22" t="n">
        <x:f>'Main CMPs'!$D$69</x:f>
        <x:v>0.9533210476309782</x:v>
      </x:c>
      <x:c r="F36" s="14" t="n">
        <x:f>J35</x:f>
        <x:v>873.6</x:v>
      </x:c>
      <x:c r="G36" s="14" t="n">
        <x:f>IF(E36&lt;=$E$56,$D$56,IF(E36&lt;$F$56,$D$56+($C$56-$D$56)*((E36-$E$56)/IF($F$56=$E$56,0.000001,$F$56-$E$56))^$B$62,$C$56*($B$64+(1-$B$64)*((E36-$E$56)/IF($F$56=$E$56,0.000001,$F$56-$E$56)))^$B$63))</x:f>
        <x:v>569.4523474412413</x:v>
      </x:c>
      <x:c r="H36" s="14" t="n">
        <x:f>F36*$G$56</x:f>
        <x:v>698.8800000000001</x:v>
      </x:c>
      <x:c r="I36" s="14" t="n">
        <x:f>F36*$H$56</x:f>
        <x:v>1004.64</x:v>
      </x:c>
      <x:c r="J36" s="20" t="n">
        <x:f>MAX(H36,MIN(I36,G36))</x:f>
        <x:v>698.8800000000001</x:v>
      </x:c>
      <x:c r="K36" s="24" t="n">
        <x:f>J36/F36-1</x:f>
        <x:v>-0.19999999999999984</x:v>
      </x:c>
      <x:c r="L36" s="2" t="str">
        <x:f>IF(G36&lt;H36,"Decrease limit",IF(G36&gt;I36,"Increase limit","Index rule"))</x:f>
        <x:v>Decrease limit</x:v>
      </x:c>
    </x:row>
    <x:row r="37" ht="21" customHeight="1">
      <x:c r="A37" s="17" t="str">
        <x:v>CMP46</x:v>
      </x:c>
      <x:c r="B37" s="18" t="n">
        <x:f>'Main CMPs'!$B$15</x:f>
        <x:v>1675</x:v>
      </x:c>
      <x:c r="C37" s="17" t="n">
        <x:v>2027</x:v>
      </x:c>
      <x:c r="D37" s="17" t="n">
        <x:v>2025</x:v>
      </x:c>
      <x:c r="E37" s="21" t="n">
        <x:f>'Main CMPs'!$D$68</x:f>
        <x:v>1.0898340398436022</x:v>
      </x:c>
      <x:c r="F37" s="18" t="n">
        <x:f>B37</x:f>
        <x:v>1675</x:v>
      </x:c>
      <x:c r="G37" s="18" t="n">
        <x:f>IF(E37&lt;=$E$57,$D$57,IF(E37&lt;$F$57,$D$57+($C$57-$D$57)*((E37-$E$57)/IF($F$57=$E$57,0.000001,$F$57-$E$57))^$B$62,$C$57*($B$64+(1-$B$64)*((E37-$E$57)/IF($F$57=$E$57,0.000001,$F$57-$E$57)))^$B$63))</x:f>
        <x:v>687.4807590615553</x:v>
      </x:c>
      <x:c r="H37" s="18" t="n">
        <x:f>F37*$G$57</x:f>
        <x:v>1423.75</x:v>
      </x:c>
      <x:c r="I37" s="18" t="n">
        <x:f>F37*$H$57</x:f>
        <x:v>1926.2499999999998</x:v>
      </x:c>
      <x:c r="J37" s="19" t="n">
        <x:f>MAX(H37,MIN(I37,G37))</x:f>
        <x:v>1423.75</x:v>
      </x:c>
      <x:c r="K37" s="23" t="n">
        <x:f>J37/F37-1</x:f>
        <x:v>-0.15000000000000002</x:v>
      </x:c>
      <x:c r="L37" s="17" t="str">
        <x:f>IF(G37&lt;H37,"Decrease limit",IF(G37&gt;I37,"Increase limit","Index rule"))</x:f>
        <x:v>Decrease limit</x:v>
      </x:c>
    </x:row>
    <x:row r="38" ht="21" customHeight="1">
      <x:c r="A38" s="2" t="str">
        <x:v>CMP46</x:v>
      </x:c>
      <x:c r="B38" s="14" t="n">
        <x:f>'Main CMPs'!$B$15</x:f>
        <x:v>1675</x:v>
      </x:c>
      <x:c r="C38" s="2" t="n">
        <x:v>2028</x:v>
      </x:c>
      <x:c r="D38" s="2" t="n">
        <x:v>2026</x:v>
      </x:c>
      <x:c r="E38" s="22" t="n">
        <x:f>'Main CMPs'!$D$69</x:f>
        <x:v>0.9533210476309782</x:v>
      </x:c>
      <x:c r="F38" s="14" t="n">
        <x:f>J37</x:f>
        <x:v>1423.75</x:v>
      </x:c>
      <x:c r="G38" s="14" t="n">
        <x:f>IF(E38&lt;=$E$57,$D$57,IF(E38&lt;$F$57,$D$57+($C$57-$D$57)*((E38-$E$57)/IF($F$57=$E$57,0.000001,$F$57-$E$57))^$B$62,$C$57*($B$64+(1-$B$64)*((E38-$E$57)/IF($F$57=$E$57,0.000001,$F$57-$E$57)))^$B$63))</x:f>
        <x:v>558.0790305859524</x:v>
      </x:c>
      <x:c r="H38" s="14" t="n">
        <x:f>F38*$G$57</x:f>
        <x:v>1210.1875</x:v>
      </x:c>
      <x:c r="I38" s="14" t="n">
        <x:f>F38*$H$57</x:f>
        <x:v>1637.3124999999998</x:v>
      </x:c>
      <x:c r="J38" s="20" t="n">
        <x:f>MAX(H38,MIN(I38,G38))</x:f>
        <x:v>1210.1875</x:v>
      </x:c>
      <x:c r="K38" s="24" t="n">
        <x:f>J38/F38-1</x:f>
        <x:v>-0.15000000000000002</x:v>
      </x:c>
      <x:c r="L38" s="2" t="str">
        <x:f>IF(G38&lt;H38,"Decrease limit",IF(G38&gt;I38,"Increase limit","Index rule"))</x:f>
        <x:v>Decrease limit</x:v>
      </x:c>
    </x:row>
    <x:row r="39" ht="21" customHeight="1">
      <x:c r="A39" s="17" t="str">
        <x:v>CMP46</x:v>
      </x:c>
      <x:c r="B39" s="18" t="n">
        <x:f>'Main CMPs'!$B$16</x:f>
        <x:v>1092</x:v>
      </x:c>
      <x:c r="C39" s="17" t="n">
        <x:v>2027</x:v>
      </x:c>
      <x:c r="D39" s="17" t="n">
        <x:v>2025</x:v>
      </x:c>
      <x:c r="E39" s="21" t="n">
        <x:f>'Main CMPs'!$D$68</x:f>
        <x:v>1.0898340398436022</x:v>
      </x:c>
      <x:c r="F39" s="18" t="n">
        <x:f>B39</x:f>
        <x:v>1092</x:v>
      </x:c>
      <x:c r="G39" s="18" t="n">
        <x:f>IF(E39&lt;=$E$57,$D$57,IF(E39&lt;$F$57,$D$57+($C$57-$D$57)*((E39-$E$57)/IF($F$57=$E$57,0.000001,$F$57-$E$57))^$B$62,$C$57*($B$64+(1-$B$64)*((E39-$E$57)/IF($F$57=$E$57,0.000001,$F$57-$E$57)))^$B$63))</x:f>
        <x:v>687.4807590615553</x:v>
      </x:c>
      <x:c r="H39" s="18" t="n">
        <x:f>F39*$G$57</x:f>
        <x:v>928.1999999999999</x:v>
      </x:c>
      <x:c r="I39" s="18" t="n">
        <x:f>F39*$H$57</x:f>
        <x:v>1255.8</x:v>
      </x:c>
      <x:c r="J39" s="19" t="n">
        <x:f>MAX(H39,MIN(I39,G39))</x:f>
        <x:v>928.1999999999999</x:v>
      </x:c>
      <x:c r="K39" s="23" t="n">
        <x:f>J39/F39-1</x:f>
        <x:v>-0.15000000000000002</x:v>
      </x:c>
      <x:c r="L39" s="17" t="str">
        <x:f>IF(G39&lt;H39,"Decrease limit",IF(G39&gt;I39,"Increase limit","Index rule"))</x:f>
        <x:v>Decrease limit</x:v>
      </x:c>
    </x:row>
    <x:row r="40" ht="21" customHeight="1">
      <x:c r="A40" s="2" t="str">
        <x:v>CMP46</x:v>
      </x:c>
      <x:c r="B40" s="14" t="n">
        <x:f>'Main CMPs'!$B$16</x:f>
        <x:v>1092</x:v>
      </x:c>
      <x:c r="C40" s="2" t="n">
        <x:v>2028</x:v>
      </x:c>
      <x:c r="D40" s="2" t="n">
        <x:v>2026</x:v>
      </x:c>
      <x:c r="E40" s="22" t="n">
        <x:f>'Main CMPs'!$D$69</x:f>
        <x:v>0.9533210476309782</x:v>
      </x:c>
      <x:c r="F40" s="14" t="n">
        <x:f>J39</x:f>
        <x:v>928.1999999999999</x:v>
      </x:c>
      <x:c r="G40" s="14" t="n">
        <x:f>IF(E40&lt;=$E$57,$D$57,IF(E40&lt;$F$57,$D$57+($C$57-$D$57)*((E40-$E$57)/IF($F$57=$E$57,0.000001,$F$57-$E$57))^$B$62,$C$57*($B$64+(1-$B$64)*((E40-$E$57)/IF($F$57=$E$57,0.000001,$F$57-$E$57)))^$B$63))</x:f>
        <x:v>558.0790305859524</x:v>
      </x:c>
      <x:c r="H40" s="14" t="n">
        <x:f>F40*$G$57</x:f>
        <x:v>788.9699999999999</x:v>
      </x:c>
      <x:c r="I40" s="14" t="n">
        <x:f>F40*$H$57</x:f>
        <x:v>1067.4299999999998</x:v>
      </x:c>
      <x:c r="J40" s="20" t="n">
        <x:f>MAX(H40,MIN(I40,G40))</x:f>
        <x:v>788.9699999999999</x:v>
      </x:c>
      <x:c r="K40" s="24" t="n">
        <x:f>J40/F40-1</x:f>
        <x:v>-0.15000000000000002</x:v>
      </x:c>
      <x:c r="L40" s="2" t="str">
        <x:f>IF(G40&lt;H40,"Decrease limit",IF(G40&gt;I40,"Increase limit","Index rule"))</x:f>
        <x:v>Decrease limit</x:v>
      </x:c>
    </x:row>
    <x:row r="41" ht="21" customHeight="1">
      <x:c r="A41" s="17" t="str">
        <x:v>CMP47</x:v>
      </x:c>
      <x:c r="B41" s="18" t="n">
        <x:f>'Main CMPs'!$B$15</x:f>
        <x:v>1675</x:v>
      </x:c>
      <x:c r="C41" s="17" t="n">
        <x:v>2027</x:v>
      </x:c>
      <x:c r="D41" s="17" t="n">
        <x:v>2025</x:v>
      </x:c>
      <x:c r="E41" s="21" t="n">
        <x:f>'Main CMPs'!$D$68</x:f>
        <x:v>1.0898340398436022</x:v>
      </x:c>
      <x:c r="F41" s="18" t="n">
        <x:f>B41</x:f>
        <x:v>1675</x:v>
      </x:c>
      <x:c r="G41" s="18" t="n">
        <x:f>IF(E41&lt;=$E$58,$D$58,IF(E41&lt;$F$58,$D$58+(E41-$E$58)*($C$58-$D$58)/($F$58-$E$58),$C$58))</x:f>
        <x:v>1171.2699415418062</x:v>
      </x:c>
      <x:c r="H41" s="18" t="n">
        <x:f>F41*$G$58</x:f>
        <x:v>1172.5</x:v>
      </x:c>
      <x:c r="I41" s="18" t="n">
        <x:f>F41*$H$58</x:f>
        <x:v>2010</x:v>
      </x:c>
      <x:c r="J41" s="19" t="n">
        <x:f>MAX(H41,MIN(I41,G41))</x:f>
        <x:v>1172.5</x:v>
      </x:c>
      <x:c r="K41" s="23" t="n">
        <x:f>J41/F41-1</x:f>
        <x:v>-0.30000000000000004</x:v>
      </x:c>
      <x:c r="L41" s="17" t="str">
        <x:f>IF(G41&lt;H41,"Decrease limit",IF(G41&gt;I41,"Increase limit","Index rule"))</x:f>
        <x:v>Decrease limit</x:v>
      </x:c>
    </x:row>
    <x:row r="42" ht="21" customHeight="1">
      <x:c r="A42" s="2" t="str">
        <x:v>CMP47</x:v>
      </x:c>
      <x:c r="B42" s="14" t="n">
        <x:f>'Main CMPs'!$B$15</x:f>
        <x:v>1675</x:v>
      </x:c>
      <x:c r="C42" s="2" t="n">
        <x:v>2028</x:v>
      </x:c>
      <x:c r="D42" s="2" t="n">
        <x:v>2026</x:v>
      </x:c>
      <x:c r="E42" s="22" t="n">
        <x:f>'Main CMPs'!$D$69</x:f>
        <x:v>0.9533210476309782</x:v>
      </x:c>
      <x:c r="F42" s="14" t="n">
        <x:f>J41</x:f>
        <x:v>1172.5</x:v>
      </x:c>
      <x:c r="G42" s="14" t="n">
        <x:f>IF(E42&lt;=$E$58,$D$58,IF(E42&lt;$F$58,$D$58+(E42-$E$58)*($C$58-$D$58)/($F$58-$E$58),$C$58))</x:f>
        <x:v>1046.9712696850488</x:v>
      </x:c>
      <x:c r="H42" s="14" t="n">
        <x:f>F42*$G$58</x:f>
        <x:v>820.75</x:v>
      </x:c>
      <x:c r="I42" s="14" t="n">
        <x:f>F42*$H$58</x:f>
        <x:v>1407</x:v>
      </x:c>
      <x:c r="J42" s="20" t="n">
        <x:f>MAX(H42,MIN(I42,G42))</x:f>
        <x:v>1046.9712696850488</x:v>
      </x:c>
      <x:c r="K42" s="24" t="n">
        <x:f>J42/F42-1</x:f>
        <x:v>-0.1070607508016641</x:v>
      </x:c>
      <x:c r="L42" s="2" t="str">
        <x:f>IF(G42&lt;H42,"Decrease limit",IF(G42&gt;I42,"Increase limit","Index rule"))</x:f>
        <x:v>Index rule</x:v>
      </x:c>
    </x:row>
    <x:row r="43" ht="21" customHeight="1">
      <x:c r="A43" s="17" t="str">
        <x:v>CMP47</x:v>
      </x:c>
      <x:c r="B43" s="18" t="n">
        <x:f>'Main CMPs'!$B$16</x:f>
        <x:v>1092</x:v>
      </x:c>
      <x:c r="C43" s="17" t="n">
        <x:v>2027</x:v>
      </x:c>
      <x:c r="D43" s="17" t="n">
        <x:v>2025</x:v>
      </x:c>
      <x:c r="E43" s="21" t="n">
        <x:f>'Main CMPs'!$D$68</x:f>
        <x:v>1.0898340398436022</x:v>
      </x:c>
      <x:c r="F43" s="18" t="n">
        <x:f>B43</x:f>
        <x:v>1092</x:v>
      </x:c>
      <x:c r="G43" s="18" t="n">
        <x:f>IF(E43&lt;=$E$58,$D$58,IF(E43&lt;$F$58,$D$58+(E43-$E$58)*($C$58-$D$58)/($F$58-$E$58),$C$58))</x:f>
        <x:v>1171.2699415418062</x:v>
      </x:c>
      <x:c r="H43" s="18" t="n">
        <x:f>F43*$G$58</x:f>
        <x:v>764.4</x:v>
      </x:c>
      <x:c r="I43" s="18" t="n">
        <x:f>F43*$H$58</x:f>
        <x:v>1310.3999999999999</x:v>
      </x:c>
      <x:c r="J43" s="19" t="n">
        <x:f>MAX(H43,MIN(I43,G43))</x:f>
        <x:v>1171.2699415418062</x:v>
      </x:c>
      <x:c r="K43" s="23" t="n">
        <x:f>J43/F43-1</x:f>
        <x:v>0.07259152155843074</x:v>
      </x:c>
      <x:c r="L43" s="17" t="str">
        <x:f>IF(G43&lt;H43,"Decrease limit",IF(G43&gt;I43,"Increase limit","Index rule"))</x:f>
        <x:v>Index rule</x:v>
      </x:c>
    </x:row>
    <x:row r="44" ht="21" customHeight="1">
      <x:c r="A44" s="2" t="str">
        <x:v>CMP47</x:v>
      </x:c>
      <x:c r="B44" s="14" t="n">
        <x:f>'Main CMPs'!$B$16</x:f>
        <x:v>1092</x:v>
      </x:c>
      <x:c r="C44" s="2" t="n">
        <x:v>2028</x:v>
      </x:c>
      <x:c r="D44" s="2" t="n">
        <x:v>2026</x:v>
      </x:c>
      <x:c r="E44" s="22" t="n">
        <x:f>'Main CMPs'!$D$69</x:f>
        <x:v>0.9533210476309782</x:v>
      </x:c>
      <x:c r="F44" s="14" t="n">
        <x:f>J43</x:f>
        <x:v>1171.2699415418062</x:v>
      </x:c>
      <x:c r="G44" s="14" t="n">
        <x:f>IF(E44&lt;=$E$58,$D$58,IF(E44&lt;$F$58,$D$58+(E44-$E$58)*($C$58-$D$58)/($F$58-$E$58),$C$58))</x:f>
        <x:v>1046.9712696850488</x:v>
      </x:c>
      <x:c r="H44" s="14" t="n">
        <x:f>F44*$G$58</x:f>
        <x:v>819.8889590792643</x:v>
      </x:c>
      <x:c r="I44" s="14" t="n">
        <x:f>F44*$H$58</x:f>
        <x:v>1405.5239298501674</x:v>
      </x:c>
      <x:c r="J44" s="20" t="n">
        <x:f>MAX(H44,MIN(I44,G44))</x:f>
        <x:v>1046.9712696850488</x:v>
      </x:c>
      <x:c r="K44" s="24" t="n">
        <x:f>J44/F44-1</x:f>
        <x:v>-0.10612299304218153</x:v>
      </x:c>
      <x:c r="L44" s="2" t="str">
        <x:f>IF(G44&lt;H44,"Decrease limit",IF(G44&gt;I44,"Increase limit","Index rule"))</x:f>
        <x:v>Index rule</x:v>
      </x:c>
    </x:row>
    <x:row r="45" ht="21" customHeight="1">
      <x:c r="A45" s="17" t="str">
        <x:v>CMP48</x:v>
      </x:c>
      <x:c r="B45" s="18" t="n">
        <x:f>'Main CMPs'!$B$15</x:f>
        <x:v>1675</x:v>
      </x:c>
      <x:c r="C45" s="17" t="n">
        <x:v>2027</x:v>
      </x:c>
      <x:c r="D45" s="17" t="n">
        <x:v>2025</x:v>
      </x:c>
      <x:c r="E45" s="21" t="n">
        <x:f>'Main CMPs'!$D$68</x:f>
        <x:v>1.0898340398436022</x:v>
      </x:c>
      <x:c r="F45" s="18" t="n">
        <x:f>B45</x:f>
        <x:v>1675</x:v>
      </x:c>
      <x:c r="G45" s="18" t="n">
        <x:f>IF(E45&lt;=$E$59,$D$59,IF(E45&lt;$F$59,$D$59+($C$59-$D$59)*((E45-$E$59)/IF($F$59=$E$59,0.000001,$F$59-$E$59))^$B$62,$C$59*($B$64+(1-$B$64)*((E45-$E$59)/IF($F$59=$E$59,0.000001,$F$59-$E$59)))^$B$63))</x:f>
        <x:v>721.3704957306855</x:v>
      </x:c>
      <x:c r="H45" s="18" t="n">
        <x:f>F45*$G$59</x:f>
        <x:v>1172.5</x:v>
      </x:c>
      <x:c r="I45" s="18" t="n">
        <x:f>F45*$H$59</x:f>
        <x:v>2010</x:v>
      </x:c>
      <x:c r="J45" s="19" t="n">
        <x:f>MAX(H45,MIN(I45,G45))</x:f>
        <x:v>1172.5</x:v>
      </x:c>
      <x:c r="K45" s="23" t="n">
        <x:f>J45/F45-1</x:f>
        <x:v>-0.30000000000000004</x:v>
      </x:c>
      <x:c r="L45" s="17" t="str">
        <x:f>IF(G45&lt;H45,"Decrease limit",IF(G45&gt;I45,"Increase limit","Index rule"))</x:f>
        <x:v>Decrease limit</x:v>
      </x:c>
    </x:row>
    <x:row r="46" ht="21" customHeight="1">
      <x:c r="A46" s="2" t="str">
        <x:v>CMP48</x:v>
      </x:c>
      <x:c r="B46" s="14" t="n">
        <x:f>'Main CMPs'!$B$15</x:f>
        <x:v>1675</x:v>
      </x:c>
      <x:c r="C46" s="2" t="n">
        <x:v>2028</x:v>
      </x:c>
      <x:c r="D46" s="2" t="n">
        <x:v>2026</x:v>
      </x:c>
      <x:c r="E46" s="22" t="n">
        <x:f>'Main CMPs'!$D$69</x:f>
        <x:v>0.9533210476309782</x:v>
      </x:c>
      <x:c r="F46" s="14" t="n">
        <x:f>J45</x:f>
        <x:v>1172.5</x:v>
      </x:c>
      <x:c r="G46" s="14" t="n">
        <x:f>IF(E46&lt;=$E$59,$D$59,IF(E46&lt;$F$59,$D$59+($C$59-$D$59)*((E46-$E$59)/IF($F$59=$E$59,0.000001,$F$59-$E$59))^$B$62,$C$59*($B$64+(1-$B$64)*((E46-$E$59)/IF($F$59=$E$59,0.000001,$F$59-$E$59)))^$B$63))</x:f>
        <x:v>581.4643538003734</x:v>
      </x:c>
      <x:c r="H46" s="14" t="n">
        <x:f>F46*$G$59</x:f>
        <x:v>820.75</x:v>
      </x:c>
      <x:c r="I46" s="14" t="n">
        <x:f>F46*$H$59</x:f>
        <x:v>1407</x:v>
      </x:c>
      <x:c r="J46" s="20" t="n">
        <x:f>MAX(H46,MIN(I46,G46))</x:f>
        <x:v>820.75</x:v>
      </x:c>
      <x:c r="K46" s="24" t="n">
        <x:f>J46/F46-1</x:f>
        <x:v>-0.30000000000000004</x:v>
      </x:c>
      <x:c r="L46" s="2" t="str">
        <x:f>IF(G46&lt;H46,"Decrease limit",IF(G46&gt;I46,"Increase limit","Index rule"))</x:f>
        <x:v>Decrease limit</x:v>
      </x:c>
    </x:row>
    <x:row r="47" ht="21" customHeight="1">
      <x:c r="A47" s="17" t="str">
        <x:v>CMP48</x:v>
      </x:c>
      <x:c r="B47" s="18" t="n">
        <x:f>'Main CMPs'!$B$16</x:f>
        <x:v>1092</x:v>
      </x:c>
      <x:c r="C47" s="17" t="n">
        <x:v>2027</x:v>
      </x:c>
      <x:c r="D47" s="17" t="n">
        <x:v>2025</x:v>
      </x:c>
      <x:c r="E47" s="21" t="n">
        <x:f>'Main CMPs'!$D$68</x:f>
        <x:v>1.0898340398436022</x:v>
      </x:c>
      <x:c r="F47" s="18" t="n">
        <x:f>B47</x:f>
        <x:v>1092</x:v>
      </x:c>
      <x:c r="G47" s="18" t="n">
        <x:f>IF(E47&lt;=$E$59,$D$59,IF(E47&lt;$F$59,$D$59+($C$59-$D$59)*((E47-$E$59)/IF($F$59=$E$59,0.000001,$F$59-$E$59))^$B$62,$C$59*($B$64+(1-$B$64)*((E47-$E$59)/IF($F$59=$E$59,0.000001,$F$59-$E$59)))^$B$63))</x:f>
        <x:v>721.3704957306855</x:v>
      </x:c>
      <x:c r="H47" s="18" t="n">
        <x:f>F47*$G$59</x:f>
        <x:v>764.4</x:v>
      </x:c>
      <x:c r="I47" s="18" t="n">
        <x:f>F47*$H$59</x:f>
        <x:v>1310.3999999999999</x:v>
      </x:c>
      <x:c r="J47" s="19" t="n">
        <x:f>MAX(H47,MIN(I47,G47))</x:f>
        <x:v>764.4</x:v>
      </x:c>
      <x:c r="K47" s="23" t="n">
        <x:f>J47/F47-1</x:f>
        <x:v>-0.30000000000000004</x:v>
      </x:c>
      <x:c r="L47" s="17" t="str">
        <x:f>IF(G47&lt;H47,"Decrease limit",IF(G47&gt;I47,"Increase limit","Index rule"))</x:f>
        <x:v>Decrease limit</x:v>
      </x:c>
    </x:row>
    <x:row r="48" ht="21" customHeight="1">
      <x:c r="A48" s="2" t="str">
        <x:v>CMP48</x:v>
      </x:c>
      <x:c r="B48" s="14" t="n">
        <x:f>'Main CMPs'!$B$16</x:f>
        <x:v>1092</x:v>
      </x:c>
      <x:c r="C48" s="2" t="n">
        <x:v>2028</x:v>
      </x:c>
      <x:c r="D48" s="2" t="n">
        <x:v>2026</x:v>
      </x:c>
      <x:c r="E48" s="22" t="n">
        <x:f>'Main CMPs'!$D$69</x:f>
        <x:v>0.9533210476309782</x:v>
      </x:c>
      <x:c r="F48" s="14" t="n">
        <x:f>J47</x:f>
        <x:v>764.4</x:v>
      </x:c>
      <x:c r="G48" s="14" t="n">
        <x:f>IF(E48&lt;=$E$59,$D$59,IF(E48&lt;$F$59,$D$59+($C$59-$D$59)*((E48-$E$59)/IF($F$59=$E$59,0.000001,$F$59-$E$59))^$B$62,$C$59*($B$64+(1-$B$64)*((E48-$E$59)/IF($F$59=$E$59,0.000001,$F$59-$E$59)))^$B$63))</x:f>
        <x:v>581.4643538003734</x:v>
      </x:c>
      <x:c r="H48" s="14" t="n">
        <x:f>F48*$G$59</x:f>
        <x:v>535.0799999999999</x:v>
      </x:c>
      <x:c r="I48" s="14" t="n">
        <x:f>F48*$H$59</x:f>
        <x:v>917.28</x:v>
      </x:c>
      <x:c r="J48" s="20" t="n">
        <x:f>MAX(H48,MIN(I48,G48))</x:f>
        <x:v>581.4643538003734</x:v>
      </x:c>
      <x:c r="K48" s="24" t="n">
        <x:f>J48/F48-1</x:f>
        <x:v>-0.23931926504399081</x:v>
      </x:c>
      <x:c r="L48" s="2" t="str">
        <x:f>IF(G48&lt;H48,"Decrease limit",IF(G48&gt;I48,"Increase limit","Index rule"))</x:f>
        <x:v>Index rule</x:v>
      </x:c>
    </x:row>
    <x:row r="49" ht="21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 ht="21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 ht="21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 ht="23" customHeight="1">
      <x:c r="A52" s="11" t="str">
        <x:v>CMP parameters: SC14 common 500-draw definitions</x:v>
      </x:c>
      <x:c r="B52" s="11"/>
      <x:c r="C52" s="11"/>
      <x:c r="D52" s="11"/>
      <x:c r="E52" s="11"/>
      <x:c r="F52" s="11"/>
      <x:c r="G52" s="11"/>
      <x:c r="H52" s="11"/>
      <x:c r="I52" s="11"/>
      <x:c r="J52" s="11"/>
      <x:c r="K52" s="11"/>
      <x:c r="L52" s="11"/>
    </x:row>
    <x:row r="53" ht="32" customHeight="1">
      <x:c r="A53" s="9" t="str">
        <x:v>CMP</x:v>
      </x:c>
      <x:c r="B53" s="9" t="str">
        <x:v>Rule family</x:v>
      </x:c>
      <x:c r="C53" s="9" t="str">
        <x:v>Target (kt)</x:v>
      </x:c>
      <x:c r="D53" s="9" t="str">
        <x:v>Minimum (kt)</x:v>
      </x:c>
      <x:c r="E53" s="9" t="str">
        <x:v>Index limit</x:v>
      </x:c>
      <x:c r="F53" s="9" t="str">
        <x:v>Trigger</x:v>
      </x:c>
      <x:c r="G53" s="9" t="str">
        <x:v>Decrease factor</x:v>
      </x:c>
      <x:c r="H53" s="9" t="str">
        <x:v>Increase factor</x:v>
      </x:c>
      <x:c r="I53" s="2"/>
      <x:c r="J53" s="2"/>
      <x:c r="K53" s="2"/>
      <x:c r="L53" s="2"/>
    </x:row>
    <x:row r="54" ht="21" customHeight="1">
      <x:c r="A54" s="2" t="str">
        <x:v>CMP32</x:v>
      </x:c>
      <x:c r="B54" s="2" t="str">
        <x:v>Power ramp</x:v>
      </x:c>
      <x:c r="C54" s="14" t="n">
        <x:v>1500</x:v>
      </x:c>
      <x:c r="D54" s="14" t="n">
        <x:v>270</x:v>
      </x:c>
      <x:c r="E54" s="15" t="n">
        <x:v>0.1</x:v>
      </x:c>
      <x:c r="F54" s="15" t="n">
        <x:v>1.640625</x:v>
      </x:c>
      <x:c r="G54" s="16" t="n">
        <x:v>0.85</x:v>
      </x:c>
      <x:c r="H54" s="16" t="n">
        <x:v>1.2</x:v>
      </x:c>
      <x:c r="I54" s="2"/>
      <x:c r="J54" s="2"/>
      <x:c r="K54" s="2"/>
      <x:c r="L54" s="2"/>
    </x:row>
    <x:row r="55" ht="21" customHeight="1">
      <x:c r="A55" s="2" t="str">
        <x:v>CMP43</x:v>
      </x:c>
      <x:c r="B55" s="2" t="str">
        <x:v>Hockey-stick</x:v>
      </x:c>
      <x:c r="C55" s="14" t="n">
        <x:v>2000</x:v>
      </x:c>
      <x:c r="D55" s="14" t="n">
        <x:v>270</x:v>
      </x:c>
      <x:c r="E55" s="15" t="n">
        <x:v>0.1</x:v>
      </x:c>
      <x:c r="F55" s="15" t="n">
        <x:v>1.9375</x:v>
      </x:c>
      <x:c r="G55" s="16" t="n">
        <x:v>0.8</x:v>
      </x:c>
      <x:c r="H55" s="16" t="n">
        <x:v>1.15</x:v>
      </x:c>
      <x:c r="I55" s="2"/>
      <x:c r="J55" s="2"/>
      <x:c r="K55" s="2"/>
      <x:c r="L55" s="2"/>
    </x:row>
    <x:row r="56" ht="21" customHeight="1">
      <x:c r="A56" s="2" t="str">
        <x:v>CMP44</x:v>
      </x:c>
      <x:c r="B56" s="2" t="str">
        <x:v>Power ramp</x:v>
      </x:c>
      <x:c r="C56" s="14" t="n">
        <x:v>1500</x:v>
      </x:c>
      <x:c r="D56" s="14" t="n">
        <x:v>270</x:v>
      </x:c>
      <x:c r="E56" s="15" t="n">
        <x:v>0.1</x:v>
      </x:c>
      <x:c r="F56" s="15" t="n">
        <x:v>1.6015625</x:v>
      </x:c>
      <x:c r="G56" s="16" t="n">
        <x:v>0.8</x:v>
      </x:c>
      <x:c r="H56" s="16" t="n">
        <x:v>1.15</x:v>
      </x:c>
      <x:c r="I56" s="2"/>
      <x:c r="J56" s="2"/>
      <x:c r="K56" s="2"/>
      <x:c r="L56" s="2"/>
    </x:row>
    <x:row r="57" ht="21" customHeight="1">
      <x:c r="A57" s="2" t="str">
        <x:v>CMP46</x:v>
      </x:c>
      <x:c r="B57" s="2" t="str">
        <x:v>Power ramp</x:v>
      </x:c>
      <x:c r="C57" s="14" t="n">
        <x:v>1500</x:v>
      </x:c>
      <x:c r="D57" s="14" t="n">
        <x:v>270</x:v>
      </x:c>
      <x:c r="E57" s="15" t="n">
        <x:v>0.1</x:v>
      </x:c>
      <x:c r="F57" s="15" t="n">
        <x:v>1.625</x:v>
      </x:c>
      <x:c r="G57" s="16" t="n">
        <x:v>0.85</x:v>
      </x:c>
      <x:c r="H57" s="16" t="n">
        <x:v>1.15</x:v>
      </x:c>
      <x:c r="I57" s="2"/>
      <x:c r="J57" s="2"/>
      <x:c r="K57" s="2"/>
      <x:c r="L57" s="2"/>
    </x:row>
    <x:row r="58" ht="21" customHeight="1">
      <x:c r="A58" s="2" t="str">
        <x:v>CMP47</x:v>
      </x:c>
      <x:c r="B58" s="2" t="str">
        <x:v>Hockey-stick</x:v>
      </x:c>
      <x:c r="C58" s="14" t="n">
        <x:v>2000</x:v>
      </x:c>
      <x:c r="D58" s="14" t="n">
        <x:v>270</x:v>
      </x:c>
      <x:c r="E58" s="15" t="n">
        <x:v>0.1</x:v>
      </x:c>
      <x:c r="F58" s="15" t="n">
        <x:v>2</x:v>
      </x:c>
      <x:c r="G58" s="16" t="n">
        <x:v>0.7</x:v>
      </x:c>
      <x:c r="H58" s="16" t="n">
        <x:v>1.2</x:v>
      </x:c>
      <x:c r="I58" s="2"/>
      <x:c r="J58" s="2"/>
      <x:c r="K58" s="2"/>
      <x:c r="L58" s="2"/>
    </x:row>
    <x:row r="59" ht="21" customHeight="1">
      <x:c r="A59" s="2" t="str">
        <x:v>CMP48</x:v>
      </x:c>
      <x:c r="B59" s="2" t="str">
        <x:v>Power ramp</x:v>
      </x:c>
      <x:c r="C59" s="14" t="n">
        <x:v>1500</x:v>
      </x:c>
      <x:c r="D59" s="14" t="n">
        <x:v>270</x:v>
      </x:c>
      <x:c r="E59" s="15" t="n">
        <x:v>0.1</x:v>
      </x:c>
      <x:c r="F59" s="15" t="n">
        <x:v>1.578125</x:v>
      </x:c>
      <x:c r="G59" s="16" t="n">
        <x:v>0.7</x:v>
      </x:c>
      <x:c r="H59" s="16" t="n">
        <x:v>1.2</x:v>
      </x:c>
      <x:c r="I59" s="2"/>
      <x:c r="J59" s="2"/>
      <x:c r="K59" s="2"/>
      <x:c r="L59" s="2"/>
    </x:row>
    <x:row r="60" ht="21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 ht="21" customHeight="1">
      <x:c r="A61" s="5" t="str">
        <x:v>Power-ramp parameters (shared by CMP32, CMP44, CMP46 and CMP48)</x:v>
      </x:c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5"/>
    </x:row>
    <x:row r="62" ht="21" customHeight="1">
      <x:c r="A62" s="2" t="str">
        <x:v>Lower exponent</x:v>
      </x:c>
      <x:c r="B62" s="2" t="n">
        <x:v>2.5</x:v>
      </x:c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 ht="21" customHeight="1">
      <x:c r="A63" s="2" t="str">
        <x:v>Upper exponent</x:v>
      </x:c>
      <x:c r="B63" s="2" t="n">
        <x:v>0.6</x:v>
      </x:c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 ht="21" customHeight="1">
      <x:c r="A64" s="2" t="str">
        <x:v>Upper intercept</x:v>
      </x:c>
      <x:c r="B64" s="2" t="n">
        <x:v>0.2</x:v>
      </x:c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 ht="21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 ht="21" customHeight="1">
      <x:c r="A66" s="5" t="str">
        <x:v>For x = (I − limit) / (trigger − limit), raw TAC below the trigger = minimum + (target − minimum) × x^2.5.</x:v>
      </x:c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5"/>
    </x:row>
    <x:row r="67" ht="21" customHeight="1">
      <x:c r="A67" s="5" t="str">
        <x:v>At or above the trigger, raw TAC = target × (0.2 + 0.8 × x)^0.6. This upper branch continues to increase.</x:v>
      </x:c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5"/>
    </x:row>
    <x:row r="68" ht="21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 ht="21" customHeight="1">
      <x:c r="A69" s="5" t="str">
        <x:v>Parameter source: SC14-MSE-2026-RC1, candidate_mps_500.csv and the saved refinement controls.</x:v>
      </x:c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5"/>
    </x:row>
    <x:row r="70" ht="21" customHeight="1">
      <x:c r="A70" s="2" t="str">
        <x:v>https://sprfmo.github.io/SC14_JM/tac-advice-2027-2028.html</x:v>
      </x:c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 ht="21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 ht="21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</x:sheetData>
  <x:conditionalFormatting sqref="L25:L48">
    <x:cfRule type="containsText" dxfId="1" priority="1" operator="containsText" text="limit"/>
  </x:conditionalFormatting>
  <x:pageMargins left="0.7" right="0.7" top="0.75" bottom="0.75" header="0.3" footer="0.3"/>
</x:worksheet>
</file>